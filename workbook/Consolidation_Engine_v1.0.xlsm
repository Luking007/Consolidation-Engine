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Multi-Workbook-Consolidation-Automation\"/>
    </mc:Choice>
  </mc:AlternateContent>
  <xr:revisionPtr revIDLastSave="0" documentId="8_{A933A578-B0C1-4777-9CAB-BA3D79624777}" xr6:coauthVersionLast="47" xr6:coauthVersionMax="47" xr10:uidLastSave="{00000000-0000-0000-0000-000000000000}"/>
  <bookViews>
    <workbookView xWindow="-120" yWindow="-120" windowWidth="29040" windowHeight="16440" xr2:uid="{0C5BA02D-DE47-494E-AA06-D93B32FD6F5C}"/>
  </bookViews>
  <sheets>
    <sheet name="Control_Panel" sheetId="2" r:id="rId1"/>
    <sheet name="Dashboard" sheetId="1" r:id="rId2"/>
    <sheet name="Master_Data" sheetId="5" r:id="rId3"/>
    <sheet name="Import_Log" sheetId="6" r:id="rId4"/>
    <sheet name="Data_Quality_Log" sheetId="7" r:id="rId5"/>
    <sheet name="Instructions" sheetId="8" r:id="rId6"/>
    <sheet name="Dashboard_Data" sheetId="9" state="hidden" r:id="rId7"/>
    <sheet name="Config_SourceProfiles" sheetId="3" state="hidden" r:id="rId8"/>
    <sheet name="Config_ValidationRules" sheetId="4" state="hidden" r:id="rId9"/>
  </sheets>
  <functionGroups builtInGroupCount="19"/>
  <calcPr calcId="191029"/>
  <pivotCaches>
    <pivotCache cacheId="0" r:id="rId10"/>
    <pivotCache cacheId="1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D3" i="9"/>
  <c r="B5" i="9" s="1"/>
  <c r="I14" i="1"/>
  <c r="E27" i="2"/>
  <c r="E26" i="2"/>
  <c r="E24" i="2"/>
  <c r="E22" i="2"/>
  <c r="E23" i="2"/>
  <c r="E25" i="2"/>
  <c r="E14" i="1"/>
  <c r="F8" i="1"/>
  <c r="Q28" i="1"/>
  <c r="C8" i="1" s="1"/>
  <c r="T28" i="1"/>
  <c r="S28" i="1"/>
  <c r="R28" i="1"/>
  <c r="O90" i="1"/>
  <c r="O89" i="1"/>
  <c r="O88" i="1"/>
  <c r="B3" i="9" l="1"/>
  <c r="B4" i="9"/>
  <c r="U28" i="1"/>
  <c r="E5" i="9" l="1"/>
</calcChain>
</file>

<file path=xl/sharedStrings.xml><?xml version="1.0" encoding="utf-8"?>
<sst xmlns="http://schemas.openxmlformats.org/spreadsheetml/2006/main" count="533" uniqueCount="144">
  <si>
    <t>Station_Code</t>
  </si>
  <si>
    <t>Station_Name</t>
  </si>
  <si>
    <t>Report_Date</t>
  </si>
  <si>
    <t>Flights_Handled</t>
  </si>
  <si>
    <t>OnTime_Departures</t>
  </si>
  <si>
    <t>Delayed_Departures</t>
  </si>
  <si>
    <t>Cancelled_Flights</t>
  </si>
  <si>
    <t>Avg_Turnaround_Min</t>
  </si>
  <si>
    <t>Fuel_Uplift_Litres</t>
  </si>
  <si>
    <t>Passengers_Handled</t>
  </si>
  <si>
    <t>Source_File</t>
  </si>
  <si>
    <t>Import_Batch_ID</t>
  </si>
  <si>
    <t>Import_Timestamp</t>
  </si>
  <si>
    <t>Profile_Name</t>
  </si>
  <si>
    <t>Match_Pattern</t>
  </si>
  <si>
    <t>Standard_Field</t>
  </si>
  <si>
    <t>Source_Header</t>
  </si>
  <si>
    <t>Required</t>
  </si>
  <si>
    <t>Field</t>
  </si>
  <si>
    <t>Rule_Type</t>
  </si>
  <si>
    <t>Min_Value</t>
  </si>
  <si>
    <t>Max_Value</t>
  </si>
  <si>
    <t>Allowed_Values</t>
  </si>
  <si>
    <t>Error_Message</t>
  </si>
  <si>
    <t>Batch_ID</t>
  </si>
  <si>
    <t>Timestamp</t>
  </si>
  <si>
    <t>File_Name</t>
  </si>
  <si>
    <t>Status</t>
  </si>
  <si>
    <t>Rows_Imported</t>
  </si>
  <si>
    <t>Rows_Flagged</t>
  </si>
  <si>
    <t>Message</t>
  </si>
  <si>
    <t>Row_Reference</t>
  </si>
  <si>
    <t>Reason</t>
  </si>
  <si>
    <t>Raw_Values</t>
  </si>
  <si>
    <t>Standard</t>
  </si>
  <si>
    <t>Yes</t>
  </si>
  <si>
    <t>No</t>
  </si>
  <si>
    <t>ABV_Style</t>
  </si>
  <si>
    <t>Airport Code</t>
  </si>
  <si>
    <t>Airport</t>
  </si>
  <si>
    <t>AllowedList</t>
  </si>
  <si>
    <t>LOS,ABV,PHC,KAN</t>
  </si>
  <si>
    <t>Station Code not in approved list</t>
  </si>
  <si>
    <t>DateRange</t>
  </si>
  <si>
    <t>Report Date outside current reporting period</t>
  </si>
  <si>
    <t>Range</t>
  </si>
  <si>
    <t>Flights Handled out of expected range</t>
  </si>
  <si>
    <t>On-Time Departures out of expected range</t>
  </si>
  <si>
    <t>Delayed Departures out of expected range</t>
  </si>
  <si>
    <t>Cancelled Flights out of expected range</t>
  </si>
  <si>
    <t>Avg Turnaround Min out of expected range</t>
  </si>
  <si>
    <t>Fuel Uplift out of expected range</t>
  </si>
  <si>
    <t>Passengers Handled out of expected range</t>
  </si>
  <si>
    <t>LOS</t>
  </si>
  <si>
    <t>Lagos</t>
  </si>
  <si>
    <t>LOS_Station_Report.xlsx</t>
  </si>
  <si>
    <t>Row 1</t>
  </si>
  <si>
    <t>Row 2</t>
  </si>
  <si>
    <t>KAN_Station_Report.xlsx</t>
  </si>
  <si>
    <t xml:space="preserve">On-Time + Delayed + Cancelled exceeds Flights Handled; </t>
  </si>
  <si>
    <t>KAN | Kano | 07/08/2026 | 10 | 12 | 3 | 1 | 24 | (none) | 1000</t>
  </si>
  <si>
    <t xml:space="preserve">Station Code not in approved list; Report_Date could not be read as a date; </t>
  </si>
  <si>
    <t xml:space="preserve"> |  | (none) |  |  |  |  |  | (none) | </t>
  </si>
  <si>
    <t>KAN</t>
  </si>
  <si>
    <t>Kano</t>
  </si>
  <si>
    <t>OK: KAN_Station_Report.xlsx -- 14 rows, 2 flagged, 1 duplicate, 11 written</t>
  </si>
  <si>
    <t>OK: LOS_Station_Report.xlsx -- 12 rows, 0 flagged, 0 duplicate, 12 written</t>
  </si>
  <si>
    <t>ABV</t>
  </si>
  <si>
    <t>Abuja</t>
  </si>
  <si>
    <t>ABV_Station_Report.xlsx</t>
  </si>
  <si>
    <t>OK: ABV_Station_Report.xlsx -- 12 rows, 0 flagged, 0 duplicate, 12 written</t>
  </si>
  <si>
    <t>PHC</t>
  </si>
  <si>
    <t>Port Harcourt</t>
  </si>
  <si>
    <t>PHC_Station_Report.xlsx</t>
  </si>
  <si>
    <t>OK: PHC_Station_Report.xlsx -- 12 rows, 0 flagged, 0 duplicate, 12 written</t>
  </si>
  <si>
    <t>Row Labels</t>
  </si>
  <si>
    <t>Grand Total</t>
  </si>
  <si>
    <t>Sum of Flights_Handled</t>
  </si>
  <si>
    <t>Sum of OnTime_Departures</t>
  </si>
  <si>
    <t>Sum of Delayed_Departures</t>
  </si>
  <si>
    <t>Sum of Cancelled_Flights</t>
  </si>
  <si>
    <t>Sum of Passengers_Handled</t>
  </si>
  <si>
    <t>Sum of OnTime_Pct</t>
  </si>
  <si>
    <t>On-Time %</t>
  </si>
  <si>
    <t>(blank)</t>
  </si>
  <si>
    <t>BATCH-20260918-222940</t>
  </si>
  <si>
    <t>OK</t>
  </si>
  <si>
    <t>COMPLETE</t>
  </si>
  <si>
    <t>Sum of Rows_Imported</t>
  </si>
  <si>
    <t>Sum of Rows_Flagged</t>
  </si>
  <si>
    <t>Column Labels</t>
  </si>
  <si>
    <t>Rows_Duplicate</t>
  </si>
  <si>
    <t>BATCH-20260919-234317</t>
  </si>
  <si>
    <t>RUN BATCH-20260919-234317 COMPLETE: 4 OK, 0 failed</t>
  </si>
  <si>
    <t>Clean</t>
  </si>
  <si>
    <t>Flagged</t>
  </si>
  <si>
    <t>Duplicate</t>
  </si>
  <si>
    <t>TOTAL FLIGHTS HANDLED</t>
  </si>
  <si>
    <t>FLEET-WIDE ON-TIME %</t>
  </si>
  <si>
    <t>TOTAL PASSENGERS HANDLED</t>
  </si>
  <si>
    <t>AVG TURNAROUND TIME</t>
  </si>
  <si>
    <t>DATA QUALITY RATE</t>
  </si>
  <si>
    <t>CONSOLIDATION ENGINE</t>
  </si>
  <si>
    <t>OPERATIONS CONTROL PANEL</t>
  </si>
  <si>
    <t>SYSTEM STATUS</t>
  </si>
  <si>
    <t>Last Run</t>
  </si>
  <si>
    <t>Files Processed</t>
  </si>
  <si>
    <t>Exceptions</t>
  </si>
  <si>
    <t>Records in Master</t>
  </si>
  <si>
    <t>OK: ABV_Station_Report.xlsx -- 12 rows, 0 flagged, 12 duplicate, 0 written</t>
  </si>
  <si>
    <t>BATCH-20260922-162255</t>
  </si>
  <si>
    <t>OK: KAN_Station_Report.xlsx -- 14 rows, 2 flagged, 12 duplicate, 0 written</t>
  </si>
  <si>
    <t>OK: LOS_Station_Report.xlsx -- 12 rows, 0 flagged, 12 duplicate, 0 written</t>
  </si>
  <si>
    <t>OK: PHC_Station_Report.xlsx -- 12 rows, 0 flagged, 12 duplicate, 0 written</t>
  </si>
  <si>
    <t>RUN BATCH-20260922-162255 COMPLETE: 4 OK, 0 failed</t>
  </si>
  <si>
    <t>Duplicates</t>
  </si>
  <si>
    <t>USER INSTRUCTIONS</t>
  </si>
  <si>
    <t>1. PREPARE INPUT FILES</t>
  </si>
  <si>
    <t>Place all source .xlsx files that need to e processed inside the Input folder located beside this workbook.</t>
  </si>
  <si>
    <t>2. RUN THE CONSOLIDATION ENGINE</t>
  </si>
  <si>
    <t>Open the Control_Panel sheet and click RUN FULL IMPORT once.</t>
  </si>
  <si>
    <t>3. WAIT FOR COMPLETION</t>
  </si>
  <si>
    <t>Allow the process to finish. Do not close Excel or click RUN FULL IMPORT again while a batch is running.</t>
  </si>
  <si>
    <t>4. REVIEW THE RESULTS</t>
  </si>
  <si>
    <t>Use the Control Panel status section, Dashboard, Import Log, Data Quality Log and Master Data to review the outcome.</t>
  </si>
  <si>
    <t>5. REVIEW EXCEPTIONS</t>
  </si>
  <si>
    <t>Flagged records are validation exceptions. Duplicate records are excluded from the Master Data table by the consolidation engine.</t>
  </si>
  <si>
    <t>6. IMPORTANT</t>
  </si>
  <si>
    <t>Do not manually delete, move or rename the Input, Master_Data, Import_Log or Data_Quality_Log worksheets or their tables.</t>
  </si>
  <si>
    <t>STATION OPERATIONS PERFORMANCE DASHBOARD</t>
  </si>
  <si>
    <t>Flights Handled</t>
  </si>
  <si>
    <t>Data Quality Status</t>
  </si>
  <si>
    <t>Count</t>
  </si>
  <si>
    <t>Quality_Batch</t>
  </si>
  <si>
    <t>Quality Rate</t>
  </si>
  <si>
    <t>DASHBOARD SUPPORT DATA</t>
  </si>
  <si>
    <t>Supporting calculations and PivotTables used by the Consolidation Engine dashboard.</t>
  </si>
  <si>
    <t>NOTE: These cells support dashboard visuals and KPI calculations. Do not manually overwrite formula-driven values.</t>
  </si>
  <si>
    <t>NOTE: Defines how incoming source-file headers are matched and mapped to standardized Master_Data fields.</t>
  </si>
  <si>
    <t>System configuration - modify only when the source-file structure or mapping rules intentionally change</t>
  </si>
  <si>
    <t>NOTE: Defines validation rules applied to incoming records before they are written to Master_Data.</t>
  </si>
  <si>
    <t>System configuration - modify only when validation requirements intentionally change.</t>
  </si>
  <si>
    <t>BATCH-20260926-161403</t>
  </si>
  <si>
    <t>RUN BATCH-20260926-161403 COMPLETE: 4 OK, 0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</si>
</sst>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43" formatCode="_-* #,##0.00_-;\-* #,##0.00_-;_-* &quot;-&quot;??_-;_-@_-"/>
    <numFmt numFmtId="164" formatCode="0.0%"/>
    <numFmt numFmtId="165" formatCode="dd\-mmm\-yyyy\ hh:mm"/>
    <numFmt numFmtId="166" formatCode="0.0&quot; min&quot;"/>
    <numFmt numFmtId="167" formatCode="dd\-mmm\-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9"/>
      <color rgb="FFA8D8F0"/>
      <name val="Calibri"/>
      <family val="2"/>
      <scheme val="minor"/>
    </font>
    <font>
      <b/>
      <sz val="20"/>
      <color theme="0"/>
      <name val="Segoe UI"/>
      <family val="2"/>
    </font>
    <font>
      <sz val="11"/>
      <color rgb="FF46648C"/>
      <name val="Segoe UI"/>
      <family val="2"/>
    </font>
    <font>
      <b/>
      <sz val="12"/>
      <color theme="0"/>
      <name val="Segoe UI"/>
      <family val="2"/>
    </font>
    <font>
      <sz val="11"/>
      <color theme="0"/>
      <name val="Segoe UI"/>
      <family val="2"/>
    </font>
    <font>
      <b/>
      <sz val="11"/>
      <color theme="0"/>
      <name val="Segoe UI"/>
      <family val="2"/>
    </font>
    <font>
      <sz val="11"/>
      <color theme="1"/>
      <name val="Segoe UI"/>
      <family val="2"/>
    </font>
    <font>
      <b/>
      <sz val="11"/>
      <color rgb="FFA8D8F0"/>
      <name val="Segoe UI"/>
      <family val="2"/>
    </font>
    <font>
      <b/>
      <sz val="22"/>
      <color theme="0"/>
      <name val="Segoe U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0A3D62"/>
      <name val="Segoe UI"/>
      <family val="2"/>
    </font>
    <font>
      <i/>
      <sz val="9"/>
      <color rgb="FF46648C"/>
      <name val="Segoe UI"/>
      <family val="2"/>
    </font>
    <font>
      <b/>
      <sz val="11"/>
      <color rgb="FF0A3D62"/>
      <name val="Segoe UI"/>
      <family val="2"/>
    </font>
    <font>
      <i/>
      <sz val="9"/>
      <color rgb="FF0A3D62"/>
      <name val="Segoe UI"/>
      <family val="2"/>
    </font>
  </fonts>
  <fills count="10">
    <fill>
      <patternFill patternType="none"/>
    </fill>
    <fill>
      <patternFill patternType="gray125"/>
    </fill>
    <fill>
      <patternFill patternType="solid">
        <fgColor rgb="FF0D1B2A"/>
        <bgColor indexed="64"/>
      </patternFill>
    </fill>
    <fill>
      <patternFill patternType="solid">
        <fgColor rgb="FF46648C"/>
        <bgColor indexed="64"/>
      </patternFill>
    </fill>
    <fill>
      <patternFill patternType="solid">
        <fgColor rgb="FFC6EFCE"/>
      </patternFill>
    </fill>
    <fill>
      <patternFill patternType="solid">
        <fgColor rgb="FF0A3D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67E22"/>
        <bgColor indexed="64"/>
      </patternFill>
    </fill>
    <fill>
      <patternFill patternType="solid">
        <fgColor rgb="FFD64545"/>
        <bgColor indexed="64"/>
      </patternFill>
    </fill>
  </fills>
  <borders count="17">
    <border>
      <left/>
      <right/>
      <top/>
      <bottom/>
      <diagonal/>
    </border>
    <border>
      <left style="thin">
        <color rgb="FF46648C"/>
      </left>
      <right/>
      <top style="thin">
        <color rgb="FF46648C"/>
      </top>
      <bottom/>
      <diagonal/>
    </border>
    <border>
      <left/>
      <right style="thin">
        <color rgb="FF46648C"/>
      </right>
      <top style="thin">
        <color rgb="FF46648C"/>
      </top>
      <bottom/>
      <diagonal/>
    </border>
    <border>
      <left style="thin">
        <color rgb="FF46648C"/>
      </left>
      <right/>
      <top/>
      <bottom/>
      <diagonal/>
    </border>
    <border>
      <left/>
      <right style="thin">
        <color rgb="FF46648C"/>
      </right>
      <top/>
      <bottom/>
      <diagonal/>
    </border>
    <border>
      <left style="thin">
        <color rgb="FF46648C"/>
      </left>
      <right/>
      <top/>
      <bottom style="thin">
        <color rgb="FF46648C"/>
      </bottom>
      <diagonal/>
    </border>
    <border>
      <left/>
      <right style="thin">
        <color rgb="FF46648C"/>
      </right>
      <top/>
      <bottom style="thin">
        <color rgb="FF46648C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13" fillId="4" borderId="0" applyNumberFormat="0" applyBorder="0" applyAlignment="0" applyProtection="0"/>
  </cellStyleXfs>
  <cellXfs count="8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0" fillId="0" borderId="0" xfId="0" applyAlignment="1">
      <alignment horizontal="left" indent="1"/>
    </xf>
    <xf numFmtId="0" fontId="0" fillId="2" borderId="0" xfId="0" applyFill="1"/>
    <xf numFmtId="164" fontId="3" fillId="2" borderId="0" xfId="0" applyNumberFormat="1" applyFont="1" applyFill="1" applyAlignment="1">
      <alignment vertical="center"/>
    </xf>
    <xf numFmtId="0" fontId="9" fillId="2" borderId="0" xfId="0" applyFont="1" applyFill="1"/>
    <xf numFmtId="0" fontId="0" fillId="2" borderId="0" xfId="0" applyFill="1" applyAlignment="1">
      <alignment horizontal="center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Alignment="1">
      <alignment horizontal="center"/>
    </xf>
    <xf numFmtId="0" fontId="14" fillId="0" borderId="0" xfId="0" applyFont="1"/>
    <xf numFmtId="165" fontId="0" fillId="0" borderId="0" xfId="0" applyNumberFormat="1" applyAlignment="1">
      <alignment horizontal="center"/>
    </xf>
    <xf numFmtId="0" fontId="13" fillId="4" borderId="0" xfId="2" applyAlignment="1">
      <alignment horizontal="center"/>
    </xf>
    <xf numFmtId="0" fontId="0" fillId="0" borderId="0" xfId="0" applyAlignment="1">
      <alignment horizontal="right"/>
    </xf>
    <xf numFmtId="0" fontId="16" fillId="5" borderId="15" xfId="0" applyFont="1" applyFill="1" applyBorder="1" applyAlignment="1">
      <alignment horizontal="left"/>
    </xf>
    <xf numFmtId="0" fontId="16" fillId="5" borderId="15" xfId="0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5" fontId="16" fillId="5" borderId="15" xfId="0" applyNumberFormat="1" applyFont="1" applyFill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6" borderId="15" xfId="0" applyFont="1" applyFill="1" applyBorder="1" applyAlignment="1">
      <alignment horizontal="left"/>
    </xf>
    <xf numFmtId="0" fontId="9" fillId="5" borderId="0" xfId="0" applyFont="1" applyFill="1"/>
    <xf numFmtId="0" fontId="9" fillId="5" borderId="0" xfId="0" applyFont="1" applyFill="1" applyAlignment="1">
      <alignment horizontal="center"/>
    </xf>
    <xf numFmtId="0" fontId="9" fillId="5" borderId="0" xfId="0" applyFont="1" applyFill="1" applyAlignment="1">
      <alignment wrapText="1"/>
    </xf>
    <xf numFmtId="0" fontId="0" fillId="0" borderId="0" xfId="0" applyAlignment="1">
      <alignment wrapText="1"/>
    </xf>
    <xf numFmtId="165" fontId="9" fillId="5" borderId="0" xfId="0" applyNumberFormat="1" applyFont="1" applyFill="1" applyAlignment="1">
      <alignment horizontal="center"/>
    </xf>
    <xf numFmtId="0" fontId="17" fillId="0" borderId="0" xfId="0" applyFont="1"/>
    <xf numFmtId="0" fontId="18" fillId="0" borderId="0" xfId="0" applyFont="1"/>
    <xf numFmtId="0" fontId="9" fillId="5" borderId="16" xfId="0" applyFont="1" applyFill="1" applyBorder="1"/>
    <xf numFmtId="0" fontId="10" fillId="0" borderId="0" xfId="0" applyFont="1"/>
    <xf numFmtId="0" fontId="19" fillId="0" borderId="0" xfId="0" applyFont="1"/>
    <xf numFmtId="0" fontId="10" fillId="7" borderId="16" xfId="0" applyFont="1" applyFill="1" applyBorder="1"/>
    <xf numFmtId="0" fontId="10" fillId="0" borderId="16" xfId="0" applyFont="1" applyBorder="1"/>
    <xf numFmtId="0" fontId="10" fillId="8" borderId="16" xfId="0" applyFont="1" applyFill="1" applyBorder="1"/>
    <xf numFmtId="0" fontId="10" fillId="9" borderId="16" xfId="0" applyFont="1" applyFill="1" applyBorder="1"/>
    <xf numFmtId="164" fontId="10" fillId="0" borderId="0" xfId="0" applyNumberFormat="1" applyFont="1"/>
    <xf numFmtId="0" fontId="20" fillId="0" borderId="0" xfId="0" applyFont="1"/>
    <xf numFmtId="0" fontId="15" fillId="0" borderId="0" xfId="0" applyFont="1" applyAlignment="1">
      <alignment wrapText="1"/>
    </xf>
    <xf numFmtId="15" fontId="0" fillId="0" borderId="0" xfId="0" applyNumberFormat="1" applyAlignment="1">
      <alignment horizontal="center"/>
    </xf>
    <xf numFmtId="0" fontId="0" fillId="5" borderId="0" xfId="0" applyFill="1"/>
    <xf numFmtId="0" fontId="8" fillId="5" borderId="0" xfId="0" applyFont="1" applyFill="1"/>
    <xf numFmtId="0" fontId="10" fillId="5" borderId="0" xfId="0" applyFont="1" applyFill="1"/>
    <xf numFmtId="0" fontId="2" fillId="3" borderId="10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/>
    </xf>
    <xf numFmtId="0" fontId="7" fillId="5" borderId="0" xfId="0" applyFont="1" applyFill="1" applyAlignment="1">
      <alignment horizontal="center"/>
    </xf>
    <xf numFmtId="0" fontId="9" fillId="3" borderId="7" xfId="0" applyFont="1" applyFill="1" applyBorder="1" applyAlignment="1">
      <alignment horizontal="center"/>
    </xf>
    <xf numFmtId="0" fontId="8" fillId="3" borderId="8" xfId="0" applyFon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165" fontId="2" fillId="3" borderId="10" xfId="0" applyNumberFormat="1" applyFont="1" applyFill="1" applyBorder="1" applyAlignment="1">
      <alignment horizontal="center"/>
    </xf>
    <xf numFmtId="165" fontId="2" fillId="3" borderId="0" xfId="0" applyNumberFormat="1" applyFont="1" applyFill="1" applyAlignment="1">
      <alignment horizontal="center"/>
    </xf>
    <xf numFmtId="165" fontId="2" fillId="3" borderId="1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3" fillId="2" borderId="5" xfId="0" applyNumberFormat="1" applyFont="1" applyFill="1" applyBorder="1" applyAlignment="1">
      <alignment horizontal="center" vertical="center"/>
    </xf>
    <xf numFmtId="164" fontId="3" fillId="2" borderId="6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3" fontId="3" fillId="2" borderId="3" xfId="0" applyNumberFormat="1" applyFont="1" applyFill="1" applyBorder="1" applyAlignment="1">
      <alignment horizontal="center" vertical="center"/>
    </xf>
    <xf numFmtId="3" fontId="3" fillId="2" borderId="4" xfId="0" applyNumberFormat="1" applyFont="1" applyFill="1" applyBorder="1" applyAlignment="1">
      <alignment horizontal="center" vertical="center"/>
    </xf>
    <xf numFmtId="3" fontId="3" fillId="2" borderId="5" xfId="0" applyNumberFormat="1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41" fontId="3" fillId="2" borderId="3" xfId="1" applyNumberFormat="1" applyFont="1" applyFill="1" applyBorder="1" applyAlignment="1">
      <alignment horizontal="center" vertical="center"/>
    </xf>
    <xf numFmtId="41" fontId="3" fillId="2" borderId="4" xfId="1" applyNumberFormat="1" applyFont="1" applyFill="1" applyBorder="1" applyAlignment="1">
      <alignment horizontal="center" vertical="center"/>
    </xf>
    <xf numFmtId="41" fontId="3" fillId="2" borderId="5" xfId="1" applyNumberFormat="1" applyFont="1" applyFill="1" applyBorder="1" applyAlignment="1">
      <alignment horizontal="center" vertical="center"/>
    </xf>
    <xf numFmtId="41" fontId="3" fillId="2" borderId="6" xfId="1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6" fontId="3" fillId="2" borderId="4" xfId="0" applyNumberFormat="1" applyFont="1" applyFill="1" applyBorder="1" applyAlignment="1">
      <alignment horizontal="center" vertical="center"/>
    </xf>
    <xf numFmtId="166" fontId="3" fillId="2" borderId="5" xfId="0" applyNumberFormat="1" applyFont="1" applyFill="1" applyBorder="1" applyAlignment="1">
      <alignment horizontal="center" vertical="center"/>
    </xf>
    <xf numFmtId="166" fontId="3" fillId="2" borderId="6" xfId="0" applyNumberFormat="1" applyFont="1" applyFill="1" applyBorder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/>
    </xf>
  </cellXfs>
  <cellStyles count="3">
    <cellStyle name="Comma" xfId="1" builtinId="3"/>
    <cellStyle name="Good" xfId="2" builtinId="26"/>
    <cellStyle name="Normal" xfId="0" builtinId="0"/>
  </cellStyles>
  <dxfs count="52">
    <dxf>
      <font>
        <strike val="0"/>
        <outline val="0"/>
        <shadow val="0"/>
        <u val="none"/>
        <vertAlign val="baseline"/>
        <sz val="10"/>
        <color theme="1"/>
        <name val="Segoe UI"/>
        <family val="2"/>
        <scheme val="none"/>
      </font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0A3D62"/>
        </patternFill>
      </fill>
    </dxf>
    <dxf>
      <fill>
        <patternFill>
          <bgColor theme="9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alignment horizontal="center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0A3D6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dd\-mmm\-yyyy\ hh:mm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 patternType="solid">
          <fgColor indexed="64"/>
          <bgColor rgb="FF0A3D62"/>
        </patternFill>
      </fill>
    </dxf>
    <dxf>
      <alignment horizontal="left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5" formatCode="dd\-mmm\-yyyy\ hh:mm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0A3D62"/>
        </patternFill>
      </fill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rgb="FFE67E22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dd\-mmm\-yyyy\ hh:mm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67" formatCode="dd\-mmm\-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A3D62"/>
      <color rgb="FFD64545"/>
      <color rgb="FF5DADE2"/>
      <color rgb="FF46648C"/>
      <color rgb="FFE67E22"/>
      <color rgb="FF70AD47"/>
      <color rgb="FFA8D8F0"/>
      <color rgb="FFC0504D"/>
      <color rgb="FF0D1B2A"/>
      <color rgb="FF1F4E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[Consolidation_Engine_v1.0.xlsm]Dashboard!pvt_OnTimeChart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ON-TIME</a:t>
            </a:r>
            <a:r>
              <a:rPr lang="en-US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 PERFORMANCE BY STATION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E67E2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Dashboard!$O$48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67E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Dashboard!$N$49:$N$53</c:f>
              <c:strCache>
                <c:ptCount val="4"/>
                <c:pt idx="0">
                  <c:v>ABV</c:v>
                </c:pt>
                <c:pt idx="1">
                  <c:v>KAN</c:v>
                </c:pt>
                <c:pt idx="2">
                  <c:v>LOS</c:v>
                </c:pt>
                <c:pt idx="3">
                  <c:v>PHC</c:v>
                </c:pt>
              </c:strCache>
            </c:strRef>
          </c:cat>
          <c:val>
            <c:numRef>
              <c:f>Dashboard!$O$49:$O$53</c:f>
              <c:numCache>
                <c:formatCode>0.0%</c:formatCode>
                <c:ptCount val="4"/>
                <c:pt idx="0">
                  <c:v>0.77717391304347827</c:v>
                </c:pt>
                <c:pt idx="1">
                  <c:v>0.66863905325443784</c:v>
                </c:pt>
                <c:pt idx="2">
                  <c:v>0.80589254766031193</c:v>
                </c:pt>
                <c:pt idx="3">
                  <c:v>0.74460431654676262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3-44BF-9952-2181233AADB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452297184"/>
        <c:axId val="452299344"/>
      </c:barChart>
      <c:catAx>
        <c:axId val="45229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452299344"/>
        <c:crosses val="autoZero"/>
        <c:auto val="1"/>
        <c:lblAlgn val="ctr"/>
        <c:lblOffset val="100"/>
        <c:noMultiLvlLbl val="0"/>
      </c:catAx>
      <c:valAx>
        <c:axId val="45229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46648C">
                  <a:alpha val="49804"/>
                </a:srgb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45229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[Consolidation_Engine_v1.0.xlsm]Dashboard!pvt_FlightsTrend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DAILY</a:t>
            </a:r>
            <a:r>
              <a:rPr lang="en-US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FLIGHTS HANDLED BY STATION</a:t>
            </a:r>
            <a:endParaRPr lang="en-US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rgbClr val="E67E2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5DADE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bg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70AD47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Dashboard!$O$68:$O$69</c:f>
              <c:strCache>
                <c:ptCount val="1"/>
                <c:pt idx="0">
                  <c:v>ABV</c:v>
                </c:pt>
              </c:strCache>
            </c:strRef>
          </c:tx>
          <c:spPr>
            <a:ln w="28575" cap="rnd">
              <a:solidFill>
                <a:srgbClr val="E67E2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Dashboard!$N$70:$N$82</c:f>
              <c:strCache>
                <c:ptCount val="12"/>
                <c:pt idx="0">
                  <c:v>01-Aug</c:v>
                </c:pt>
                <c:pt idx="1">
                  <c:v>02-Aug</c:v>
                </c:pt>
                <c:pt idx="2">
                  <c:v>03-Aug</c:v>
                </c:pt>
                <c:pt idx="3">
                  <c:v>04-Aug</c:v>
                </c:pt>
                <c:pt idx="4">
                  <c:v>05-Aug</c:v>
                </c:pt>
                <c:pt idx="5">
                  <c:v>06-Aug</c:v>
                </c:pt>
                <c:pt idx="6">
                  <c:v>07-Aug</c:v>
                </c:pt>
                <c:pt idx="7">
                  <c:v>08-Aug</c:v>
                </c:pt>
                <c:pt idx="8">
                  <c:v>09-Aug</c:v>
                </c:pt>
                <c:pt idx="9">
                  <c:v>10-Aug</c:v>
                </c:pt>
                <c:pt idx="10">
                  <c:v>11-Aug</c:v>
                </c:pt>
                <c:pt idx="11">
                  <c:v>12-Aug</c:v>
                </c:pt>
              </c:strCache>
            </c:strRef>
          </c:cat>
          <c:val>
            <c:numRef>
              <c:f>Dashboard!$O$70:$O$82</c:f>
              <c:numCache>
                <c:formatCode>General</c:formatCode>
                <c:ptCount val="12"/>
                <c:pt idx="0">
                  <c:v>33</c:v>
                </c:pt>
                <c:pt idx="1">
                  <c:v>29</c:v>
                </c:pt>
                <c:pt idx="2">
                  <c:v>32</c:v>
                </c:pt>
                <c:pt idx="3">
                  <c:v>31</c:v>
                </c:pt>
                <c:pt idx="4">
                  <c:v>33</c:v>
                </c:pt>
                <c:pt idx="5">
                  <c:v>30</c:v>
                </c:pt>
                <c:pt idx="6">
                  <c:v>28</c:v>
                </c:pt>
                <c:pt idx="7">
                  <c:v>28</c:v>
                </c:pt>
                <c:pt idx="8">
                  <c:v>35</c:v>
                </c:pt>
                <c:pt idx="9">
                  <c:v>27</c:v>
                </c:pt>
                <c:pt idx="10">
                  <c:v>32</c:v>
                </c:pt>
                <c:pt idx="11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8-462D-8748-41DB37420B7C}"/>
            </c:ext>
          </c:extLst>
        </c:ser>
        <c:ser>
          <c:idx val="1"/>
          <c:order val="1"/>
          <c:tx>
            <c:strRef>
              <c:f>Dashboard!$P$68:$P$69</c:f>
              <c:strCache>
                <c:ptCount val="1"/>
                <c:pt idx="0">
                  <c:v>KAN</c:v>
                </c:pt>
              </c:strCache>
            </c:strRef>
          </c:tx>
          <c:spPr>
            <a:ln w="28575" cap="rnd">
              <a:solidFill>
                <a:srgbClr val="5DADE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Dashboard!$N$70:$N$82</c:f>
              <c:strCache>
                <c:ptCount val="12"/>
                <c:pt idx="0">
                  <c:v>01-Aug</c:v>
                </c:pt>
                <c:pt idx="1">
                  <c:v>02-Aug</c:v>
                </c:pt>
                <c:pt idx="2">
                  <c:v>03-Aug</c:v>
                </c:pt>
                <c:pt idx="3">
                  <c:v>04-Aug</c:v>
                </c:pt>
                <c:pt idx="4">
                  <c:v>05-Aug</c:v>
                </c:pt>
                <c:pt idx="5">
                  <c:v>06-Aug</c:v>
                </c:pt>
                <c:pt idx="6">
                  <c:v>07-Aug</c:v>
                </c:pt>
                <c:pt idx="7">
                  <c:v>08-Aug</c:v>
                </c:pt>
                <c:pt idx="8">
                  <c:v>09-Aug</c:v>
                </c:pt>
                <c:pt idx="9">
                  <c:v>10-Aug</c:v>
                </c:pt>
                <c:pt idx="10">
                  <c:v>11-Aug</c:v>
                </c:pt>
                <c:pt idx="11">
                  <c:v>12-Aug</c:v>
                </c:pt>
              </c:strCache>
            </c:strRef>
          </c:cat>
          <c:val>
            <c:numRef>
              <c:f>Dashboard!$P$70:$P$82</c:f>
              <c:numCache>
                <c:formatCode>General</c:formatCode>
                <c:ptCount val="12"/>
                <c:pt idx="0">
                  <c:v>13</c:v>
                </c:pt>
                <c:pt idx="1">
                  <c:v>17</c:v>
                </c:pt>
                <c:pt idx="2">
                  <c:v>16</c:v>
                </c:pt>
                <c:pt idx="3">
                  <c:v>12</c:v>
                </c:pt>
                <c:pt idx="4">
                  <c:v>17</c:v>
                </c:pt>
                <c:pt idx="5">
                  <c:v>11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17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8-462D-8748-41DB37420B7C}"/>
            </c:ext>
          </c:extLst>
        </c:ser>
        <c:ser>
          <c:idx val="2"/>
          <c:order val="2"/>
          <c:tx>
            <c:strRef>
              <c:f>Dashboard!$Q$68:$Q$69</c:f>
              <c:strCache>
                <c:ptCount val="1"/>
                <c:pt idx="0">
                  <c:v>LOS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Dashboard!$N$70:$N$82</c:f>
              <c:strCache>
                <c:ptCount val="12"/>
                <c:pt idx="0">
                  <c:v>01-Aug</c:v>
                </c:pt>
                <c:pt idx="1">
                  <c:v>02-Aug</c:v>
                </c:pt>
                <c:pt idx="2">
                  <c:v>03-Aug</c:v>
                </c:pt>
                <c:pt idx="3">
                  <c:v>04-Aug</c:v>
                </c:pt>
                <c:pt idx="4">
                  <c:v>05-Aug</c:v>
                </c:pt>
                <c:pt idx="5">
                  <c:v>06-Aug</c:v>
                </c:pt>
                <c:pt idx="6">
                  <c:v>07-Aug</c:v>
                </c:pt>
                <c:pt idx="7">
                  <c:v>08-Aug</c:v>
                </c:pt>
                <c:pt idx="8">
                  <c:v>09-Aug</c:v>
                </c:pt>
                <c:pt idx="9">
                  <c:v>10-Aug</c:v>
                </c:pt>
                <c:pt idx="10">
                  <c:v>11-Aug</c:v>
                </c:pt>
                <c:pt idx="11">
                  <c:v>12-Aug</c:v>
                </c:pt>
              </c:strCache>
            </c:strRef>
          </c:cat>
          <c:val>
            <c:numRef>
              <c:f>Dashboard!$Q$70:$Q$82</c:f>
              <c:numCache>
                <c:formatCode>General</c:formatCode>
                <c:ptCount val="12"/>
                <c:pt idx="0">
                  <c:v>45</c:v>
                </c:pt>
                <c:pt idx="1">
                  <c:v>45</c:v>
                </c:pt>
                <c:pt idx="2">
                  <c:v>47</c:v>
                </c:pt>
                <c:pt idx="3">
                  <c:v>52</c:v>
                </c:pt>
                <c:pt idx="4">
                  <c:v>46</c:v>
                </c:pt>
                <c:pt idx="5">
                  <c:v>49</c:v>
                </c:pt>
                <c:pt idx="6">
                  <c:v>53</c:v>
                </c:pt>
                <c:pt idx="7">
                  <c:v>45</c:v>
                </c:pt>
                <c:pt idx="8">
                  <c:v>53</c:v>
                </c:pt>
                <c:pt idx="9">
                  <c:v>48</c:v>
                </c:pt>
                <c:pt idx="10">
                  <c:v>49</c:v>
                </c:pt>
                <c:pt idx="11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5B8-462D-8748-41DB37420B7C}"/>
            </c:ext>
          </c:extLst>
        </c:ser>
        <c:ser>
          <c:idx val="3"/>
          <c:order val="3"/>
          <c:tx>
            <c:strRef>
              <c:f>Dashboard!$R$68:$R$69</c:f>
              <c:strCache>
                <c:ptCount val="1"/>
                <c:pt idx="0">
                  <c:v>PHC</c:v>
                </c:pt>
              </c:strCache>
            </c:strRef>
          </c:tx>
          <c:spPr>
            <a:ln w="28575" cap="rnd">
              <a:solidFill>
                <a:srgbClr val="70AD47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Dashboard!$N$70:$N$82</c:f>
              <c:strCache>
                <c:ptCount val="12"/>
                <c:pt idx="0">
                  <c:v>01-Aug</c:v>
                </c:pt>
                <c:pt idx="1">
                  <c:v>02-Aug</c:v>
                </c:pt>
                <c:pt idx="2">
                  <c:v>03-Aug</c:v>
                </c:pt>
                <c:pt idx="3">
                  <c:v>04-Aug</c:v>
                </c:pt>
                <c:pt idx="4">
                  <c:v>05-Aug</c:v>
                </c:pt>
                <c:pt idx="5">
                  <c:v>06-Aug</c:v>
                </c:pt>
                <c:pt idx="6">
                  <c:v>07-Aug</c:v>
                </c:pt>
                <c:pt idx="7">
                  <c:v>08-Aug</c:v>
                </c:pt>
                <c:pt idx="8">
                  <c:v>09-Aug</c:v>
                </c:pt>
                <c:pt idx="9">
                  <c:v>10-Aug</c:v>
                </c:pt>
                <c:pt idx="10">
                  <c:v>11-Aug</c:v>
                </c:pt>
                <c:pt idx="11">
                  <c:v>12-Aug</c:v>
                </c:pt>
              </c:strCache>
            </c:strRef>
          </c:cat>
          <c:val>
            <c:numRef>
              <c:f>Dashboard!$R$70:$R$82</c:f>
              <c:numCache>
                <c:formatCode>General</c:formatCode>
                <c:ptCount val="12"/>
                <c:pt idx="0">
                  <c:v>22</c:v>
                </c:pt>
                <c:pt idx="1">
                  <c:v>26</c:v>
                </c:pt>
                <c:pt idx="2">
                  <c:v>23</c:v>
                </c:pt>
                <c:pt idx="3">
                  <c:v>19</c:v>
                </c:pt>
                <c:pt idx="4">
                  <c:v>20</c:v>
                </c:pt>
                <c:pt idx="5">
                  <c:v>24</c:v>
                </c:pt>
                <c:pt idx="6">
                  <c:v>22</c:v>
                </c:pt>
                <c:pt idx="7">
                  <c:v>25</c:v>
                </c:pt>
                <c:pt idx="8">
                  <c:v>26</c:v>
                </c:pt>
                <c:pt idx="9">
                  <c:v>18</c:v>
                </c:pt>
                <c:pt idx="10">
                  <c:v>26</c:v>
                </c:pt>
                <c:pt idx="11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5B8-462D-8748-41DB37420B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319840"/>
        <c:axId val="606316600"/>
      </c:lineChart>
      <c:catAx>
        <c:axId val="606319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06316600"/>
        <c:crosses val="autoZero"/>
        <c:auto val="1"/>
        <c:lblAlgn val="ctr"/>
        <c:lblOffset val="100"/>
        <c:noMultiLvlLbl val="0"/>
      </c:catAx>
      <c:valAx>
        <c:axId val="606316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46648C">
                  <a:alpha val="49804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606319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[Consolidation_Engine_v1.0.xlsm]Dashboard!PivotTable4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FLIGHTS</a:t>
            </a:r>
            <a:r>
              <a:rPr lang="en-US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HANDLED BY STATION</a:t>
            </a:r>
            <a:endParaRPr lang="en-US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E67E2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Dashboard!$O$95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E67E2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Dashboard!$N$96:$N$100</c:f>
              <c:strCache>
                <c:ptCount val="4"/>
                <c:pt idx="0">
                  <c:v>ABV</c:v>
                </c:pt>
                <c:pt idx="1">
                  <c:v>KAN</c:v>
                </c:pt>
                <c:pt idx="2">
                  <c:v>LOS</c:v>
                </c:pt>
                <c:pt idx="3">
                  <c:v>PHC</c:v>
                </c:pt>
              </c:strCache>
            </c:strRef>
          </c:cat>
          <c:val>
            <c:numRef>
              <c:f>Dashboard!$O$96:$O$100</c:f>
              <c:numCache>
                <c:formatCode>General</c:formatCode>
                <c:ptCount val="4"/>
                <c:pt idx="0">
                  <c:v>368</c:v>
                </c:pt>
                <c:pt idx="1">
                  <c:v>169</c:v>
                </c:pt>
                <c:pt idx="2">
                  <c:v>577</c:v>
                </c:pt>
                <c:pt idx="3">
                  <c:v>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A8-421F-B597-57D72200895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441753088"/>
        <c:axId val="441757048"/>
      </c:barChart>
      <c:catAx>
        <c:axId val="4417530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441757048"/>
        <c:crosses val="autoZero"/>
        <c:auto val="1"/>
        <c:lblAlgn val="ctr"/>
        <c:lblOffset val="100"/>
        <c:noMultiLvlLbl val="0"/>
      </c:catAx>
      <c:valAx>
        <c:axId val="441757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46648C">
                  <a:alpha val="49804"/>
                </a:srgb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44175308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DATA</a:t>
            </a:r>
            <a:r>
              <a:rPr lang="en-GB" b="1" baseline="0">
                <a:solidFill>
                  <a:schemeClr val="bg1"/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 QUALITY MIX</a:t>
            </a:r>
            <a:endParaRPr lang="en-GB" b="1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B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Dashboard_Data!$B$2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solidFill>
                <a:srgbClr val="70AD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C14-4195-9565-401D4B404C57}"/>
              </c:ext>
            </c:extLst>
          </c:dPt>
          <c:dPt>
            <c:idx val="1"/>
            <c:bubble3D val="0"/>
            <c:spPr>
              <a:solidFill>
                <a:srgbClr val="E67E2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C14-4195-9565-401D4B404C57}"/>
              </c:ext>
            </c:extLst>
          </c:dPt>
          <c:dPt>
            <c:idx val="2"/>
            <c:bubble3D val="0"/>
            <c:spPr>
              <a:solidFill>
                <a:srgbClr val="C0504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C14-4195-9565-401D4B404C57}"/>
              </c:ext>
            </c:extLst>
          </c:dPt>
          <c:dLbls>
            <c:dLbl>
              <c:idx val="0"/>
              <c:layout>
                <c:manualLayout>
                  <c:x val="7.2222222222222215E-2"/>
                  <c:y val="2.777777777777769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C14-4195-9565-401D4B404C57}"/>
                </c:ext>
              </c:extLst>
            </c:dLbl>
            <c:dLbl>
              <c:idx val="1"/>
              <c:layout>
                <c:manualLayout>
                  <c:x val="-2.2222222222222171E-2"/>
                  <c:y val="-7.8703703703703706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C14-4195-9565-401D4B404C57}"/>
                </c:ext>
              </c:extLst>
            </c:dLbl>
            <c:dLbl>
              <c:idx val="2"/>
              <c:layout>
                <c:manualLayout>
                  <c:x val="7.5000000000000108E-2"/>
                  <c:y val="-6.944444444444444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C14-4195-9565-401D4B404C5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Dashboard_Data!$A$3:$A$5</c:f>
              <c:strCache>
                <c:ptCount val="3"/>
                <c:pt idx="0">
                  <c:v>Clean</c:v>
                </c:pt>
                <c:pt idx="1">
                  <c:v>Flagged</c:v>
                </c:pt>
                <c:pt idx="2">
                  <c:v>Duplicate</c:v>
                </c:pt>
              </c:strCache>
            </c:strRef>
          </c:cat>
          <c:val>
            <c:numRef>
              <c:f>Dashboard_Data!$B$3:$B$5</c:f>
              <c:numCache>
                <c:formatCode>General</c:formatCode>
                <c:ptCount val="3"/>
                <c:pt idx="0">
                  <c:v>47</c:v>
                </c:pt>
                <c:pt idx="1">
                  <c:v>2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C14-4195-9565-401D4B404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ta_Quality_Log!A1"/><Relationship Id="rId2" Type="http://schemas.openxmlformats.org/officeDocument/2006/relationships/hyperlink" Target="#Import_Log!A1"/><Relationship Id="rId1" Type="http://schemas.openxmlformats.org/officeDocument/2006/relationships/hyperlink" Target="#Dashboard!A1"/><Relationship Id="rId5" Type="http://schemas.openxmlformats.org/officeDocument/2006/relationships/hyperlink" Target="#Instructions!A1"/><Relationship Id="rId4" Type="http://schemas.openxmlformats.org/officeDocument/2006/relationships/hyperlink" Target="#Master_Data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6</xdr:row>
      <xdr:rowOff>38100</xdr:rowOff>
    </xdr:from>
    <xdr:to>
      <xdr:col>5</xdr:col>
      <xdr:colOff>838200</xdr:colOff>
      <xdr:row>8</xdr:row>
      <xdr:rowOff>180975</xdr:rowOff>
    </xdr:to>
    <xdr:sp macro="[0]!RunFullImpor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35430D6-79B0-3596-91F5-FA952AA348A2}"/>
            </a:ext>
          </a:extLst>
        </xdr:cNvPr>
        <xdr:cNvSpPr/>
      </xdr:nvSpPr>
      <xdr:spPr>
        <a:xfrm>
          <a:off x="66675" y="1200150"/>
          <a:ext cx="5010150" cy="523875"/>
        </a:xfrm>
        <a:prstGeom prst="roundRect">
          <a:avLst/>
        </a:prstGeom>
        <a:solidFill>
          <a:srgbClr val="E67E22"/>
        </a:solidFill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Segoe UI" panose="020B0502040204020203" pitchFamily="34" charset="0"/>
              <a:cs typeface="Segoe UI" panose="020B0502040204020203" pitchFamily="34" charset="0"/>
            </a:rPr>
            <a:t>RUN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FULL IMPORT</a:t>
          </a:r>
          <a:endParaRPr lang="en-GB" sz="12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12</xdr:col>
      <xdr:colOff>771525</xdr:colOff>
      <xdr:row>8</xdr:row>
      <xdr:rowOff>142875</xdr:rowOff>
    </xdr:to>
    <xdr:sp macro="" textlink="">
      <xdr:nvSpPr>
        <xdr:cNvPr id="3" name="Rectangle: Rounded Corner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F187AC-5810-4FC5-AD9A-C5A6DAB0CADA}"/>
            </a:ext>
          </a:extLst>
        </xdr:cNvPr>
        <xdr:cNvSpPr/>
      </xdr:nvSpPr>
      <xdr:spPr>
        <a:xfrm>
          <a:off x="5934075" y="1162050"/>
          <a:ext cx="5010150" cy="523875"/>
        </a:xfrm>
        <a:prstGeom prst="roundRect">
          <a:avLst/>
        </a:prstGeom>
        <a:solidFill>
          <a:srgbClr val="46648C"/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VIEW </a:t>
          </a:r>
          <a:r>
            <a:rPr lang="en-GB" sz="1100" b="1" baseline="0">
              <a:latin typeface="Segoe UI" panose="020B0502040204020203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57150</xdr:colOff>
      <xdr:row>10</xdr:row>
      <xdr:rowOff>0</xdr:rowOff>
    </xdr:from>
    <xdr:to>
      <xdr:col>5</xdr:col>
      <xdr:colOff>828675</xdr:colOff>
      <xdr:row>12</xdr:row>
      <xdr:rowOff>142875</xdr:rowOff>
    </xdr:to>
    <xdr:sp macro="" textlink="">
      <xdr:nvSpPr>
        <xdr:cNvPr id="4" name="Rectangle: Rounded Corner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F81FB7C-57C9-48FD-9D2B-A3BA72ECF2BD}"/>
            </a:ext>
          </a:extLst>
        </xdr:cNvPr>
        <xdr:cNvSpPr/>
      </xdr:nvSpPr>
      <xdr:spPr>
        <a:xfrm>
          <a:off x="57150" y="1924050"/>
          <a:ext cx="5010150" cy="523875"/>
        </a:xfrm>
        <a:prstGeom prst="roundRect">
          <a:avLst/>
        </a:prstGeom>
        <a:solidFill>
          <a:srgbClr val="46648C"/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Segoe UI" panose="020B0502040204020203" pitchFamily="34" charset="0"/>
              <a:cs typeface="Segoe UI" panose="020B0502040204020203" pitchFamily="34" charset="0"/>
            </a:rPr>
            <a:t>VIEW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GB" sz="1100" b="1" baseline="0">
              <a:latin typeface="Segoe UI" panose="020B0502040204020203" pitchFamily="34" charset="0"/>
              <a:cs typeface="Segoe UI" panose="020B0502040204020203" pitchFamily="34" charset="0"/>
            </a:rPr>
            <a:t>IMORT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LOG</a:t>
          </a:r>
          <a:endParaRPr lang="en-GB" sz="12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0</xdr:colOff>
      <xdr:row>10</xdr:row>
      <xdr:rowOff>9525</xdr:rowOff>
    </xdr:from>
    <xdr:to>
      <xdr:col>12</xdr:col>
      <xdr:colOff>771525</xdr:colOff>
      <xdr:row>12</xdr:row>
      <xdr:rowOff>152400</xdr:rowOff>
    </xdr:to>
    <xdr:sp macro="" textlink="">
      <xdr:nvSpPr>
        <xdr:cNvPr id="5" name="Rectangle: Rounded Corner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F5E0512-D9E6-4F85-B7C4-89C019D9E428}"/>
            </a:ext>
          </a:extLst>
        </xdr:cNvPr>
        <xdr:cNvSpPr/>
      </xdr:nvSpPr>
      <xdr:spPr>
        <a:xfrm>
          <a:off x="5934075" y="1933575"/>
          <a:ext cx="5010150" cy="523875"/>
        </a:xfrm>
        <a:prstGeom prst="roundRect">
          <a:avLst/>
        </a:prstGeom>
        <a:solidFill>
          <a:srgbClr val="46648C"/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Segoe UI" panose="020B0502040204020203" pitchFamily="34" charset="0"/>
              <a:cs typeface="Segoe UI" panose="020B0502040204020203" pitchFamily="34" charset="0"/>
            </a:rPr>
            <a:t>VIEW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GB" sz="1100" b="1" baseline="0">
              <a:latin typeface="Segoe UI" panose="020B0502040204020203" pitchFamily="34" charset="0"/>
              <a:cs typeface="Segoe UI" panose="020B0502040204020203" pitchFamily="34" charset="0"/>
            </a:rPr>
            <a:t>DATA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QUALITY</a:t>
          </a:r>
          <a:endParaRPr lang="en-GB" sz="12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0</xdr:col>
      <xdr:colOff>66675</xdr:colOff>
      <xdr:row>13</xdr:row>
      <xdr:rowOff>171450</xdr:rowOff>
    </xdr:from>
    <xdr:to>
      <xdr:col>5</xdr:col>
      <xdr:colOff>838200</xdr:colOff>
      <xdr:row>16</xdr:row>
      <xdr:rowOff>123825</xdr:rowOff>
    </xdr:to>
    <xdr:sp macro="" textlink="">
      <xdr:nvSpPr>
        <xdr:cNvPr id="6" name="Rectangle: Rounded Corner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330083-8BDE-4152-AA14-32ECD17AC7D9}"/>
            </a:ext>
          </a:extLst>
        </xdr:cNvPr>
        <xdr:cNvSpPr/>
      </xdr:nvSpPr>
      <xdr:spPr>
        <a:xfrm>
          <a:off x="66675" y="2667000"/>
          <a:ext cx="5010150" cy="523875"/>
        </a:xfrm>
        <a:prstGeom prst="roundRect">
          <a:avLst/>
        </a:prstGeom>
        <a:solidFill>
          <a:srgbClr val="46648C"/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200" b="1">
              <a:latin typeface="Segoe UI" panose="020B0502040204020203" pitchFamily="34" charset="0"/>
              <a:cs typeface="Segoe UI" panose="020B0502040204020203" pitchFamily="34" charset="0"/>
            </a:rPr>
            <a:t>VIEW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r>
            <a:rPr lang="en-GB" sz="1100" b="1" baseline="0">
              <a:latin typeface="Segoe UI" panose="020B0502040204020203" pitchFamily="34" charset="0"/>
              <a:cs typeface="Segoe UI" panose="020B0502040204020203" pitchFamily="34" charset="0"/>
            </a:rPr>
            <a:t>MASTER</a:t>
          </a:r>
          <a:r>
            <a:rPr lang="en-GB" sz="1200" b="1" baseline="0">
              <a:latin typeface="Segoe UI" panose="020B0502040204020203" pitchFamily="34" charset="0"/>
              <a:cs typeface="Segoe UI" panose="020B0502040204020203" pitchFamily="34" charset="0"/>
            </a:rPr>
            <a:t> DATA</a:t>
          </a:r>
          <a:endParaRPr lang="en-GB" sz="12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12</xdr:col>
      <xdr:colOff>771525</xdr:colOff>
      <xdr:row>16</xdr:row>
      <xdr:rowOff>142875</xdr:rowOff>
    </xdr:to>
    <xdr:sp macro="" textlink="">
      <xdr:nvSpPr>
        <xdr:cNvPr id="7" name="Rectangle: Rounded Corner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8D3444-2608-47C5-B570-D41022033780}"/>
            </a:ext>
          </a:extLst>
        </xdr:cNvPr>
        <xdr:cNvSpPr/>
      </xdr:nvSpPr>
      <xdr:spPr>
        <a:xfrm>
          <a:off x="5934075" y="2686050"/>
          <a:ext cx="5010150" cy="523875"/>
        </a:xfrm>
        <a:prstGeom prst="roundRect">
          <a:avLst/>
        </a:prstGeom>
        <a:solidFill>
          <a:srgbClr val="46648C"/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latin typeface="Segoe UI" panose="020B0502040204020203" pitchFamily="34" charset="0"/>
              <a:cs typeface="Segoe UI" panose="020B0502040204020203" pitchFamily="34" charset="0"/>
            </a:rPr>
            <a:t>INSTRUCTIONS</a:t>
          </a:r>
        </a:p>
      </xdr:txBody>
    </xdr:sp>
    <xdr:clientData/>
  </xdr:twoCellAnchor>
  <xdr:twoCellAnchor>
    <xdr:from>
      <xdr:col>3</xdr:col>
      <xdr:colOff>66674</xdr:colOff>
      <xdr:row>28</xdr:row>
      <xdr:rowOff>144781</xdr:rowOff>
    </xdr:from>
    <xdr:to>
      <xdr:col>10</xdr:col>
      <xdr:colOff>371474</xdr:colOff>
      <xdr:row>29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3B04709-827B-E27B-B47B-A9025F8DC6C4}"/>
            </a:ext>
          </a:extLst>
        </xdr:cNvPr>
        <xdr:cNvSpPr txBox="1"/>
      </xdr:nvSpPr>
      <xdr:spPr>
        <a:xfrm>
          <a:off x="2609849" y="5678806"/>
          <a:ext cx="6238875" cy="2171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900">
              <a:solidFill>
                <a:srgbClr val="A8D8F0"/>
              </a:solidFill>
              <a:latin typeface="Segoe UI" panose="020B0502040204020203" pitchFamily="34" charset="0"/>
              <a:cs typeface="Segoe UI" panose="020B0502040204020203" pitchFamily="34" charset="0"/>
            </a:rPr>
            <a:t>Consolidation Engine</a:t>
          </a:r>
          <a:r>
            <a:rPr lang="en-GB" sz="900" baseline="0">
              <a:solidFill>
                <a:srgbClr val="A8D8F0"/>
              </a:solidFill>
              <a:latin typeface="Segoe UI" panose="020B0502040204020203" pitchFamily="34" charset="0"/>
              <a:cs typeface="Segoe UI" panose="020B0502040204020203" pitchFamily="34" charset="0"/>
            </a:rPr>
            <a:t> | Automated Data Import &amp; Quality Control</a:t>
          </a:r>
          <a:endParaRPr lang="en-GB" sz="900">
            <a:solidFill>
              <a:srgbClr val="A8D8F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559377</xdr:colOff>
      <xdr:row>19</xdr:row>
      <xdr:rowOff>10678</xdr:rowOff>
    </xdr:from>
    <xdr:to>
      <xdr:col>7</xdr:col>
      <xdr:colOff>35356</xdr:colOff>
      <xdr:row>33</xdr:row>
      <xdr:rowOff>86878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60FCDC1-E3D1-C8D5-6292-624015A028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559377</xdr:colOff>
      <xdr:row>34</xdr:row>
      <xdr:rowOff>177942</xdr:rowOff>
    </xdr:from>
    <xdr:to>
      <xdr:col>7</xdr:col>
      <xdr:colOff>34133</xdr:colOff>
      <xdr:row>49</xdr:row>
      <xdr:rowOff>63642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8D2F8E2-E35A-FB4B-EE3D-7AA0A709F6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559377</xdr:colOff>
      <xdr:row>49</xdr:row>
      <xdr:rowOff>146339</xdr:rowOff>
    </xdr:from>
    <xdr:to>
      <xdr:col>7</xdr:col>
      <xdr:colOff>16452</xdr:colOff>
      <xdr:row>51</xdr:row>
      <xdr:rowOff>22514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3BE3017-4F3B-A145-D529-E20B922C604F}"/>
            </a:ext>
          </a:extLst>
        </xdr:cNvPr>
        <xdr:cNvSpPr txBox="1"/>
      </xdr:nvSpPr>
      <xdr:spPr>
        <a:xfrm>
          <a:off x="559377" y="9480839"/>
          <a:ext cx="4683919" cy="257175"/>
        </a:xfrm>
        <a:prstGeom prst="rect">
          <a:avLst/>
        </a:prstGeom>
        <a:solidFill>
          <a:srgbClr val="0D1B2A">
            <a:alpha val="85000"/>
          </a:srgbClr>
        </a:solidFill>
        <a:ln w="9525" cmpd="sng">
          <a:solidFill>
            <a:srgbClr val="46648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900" i="1">
              <a:solidFill>
                <a:srgbClr val="A8D8F0"/>
              </a:solidFill>
              <a:latin typeface="Segoe UI" panose="020B0502040204020203" pitchFamily="34" charset="0"/>
              <a:cs typeface="Segoe UI" panose="020B0502040204020203" pitchFamily="34" charset="0"/>
            </a:rPr>
            <a:t>KAN:</a:t>
          </a:r>
          <a:r>
            <a:rPr lang="en-GB" sz="900" i="1" baseline="0">
              <a:solidFill>
                <a:srgbClr val="A8D8F0"/>
              </a:solidFill>
              <a:latin typeface="Segoe UI" panose="020B0502040204020203" pitchFamily="34" charset="0"/>
              <a:cs typeface="Segoe UI" panose="020B0502040204020203" pitchFamily="34" charset="0"/>
            </a:rPr>
            <a:t> 07/08 &amp; 08/08 omitted - failed data validation (see Data_Quality_Log)</a:t>
          </a:r>
          <a:endParaRPr lang="en-GB" sz="900" i="1">
            <a:solidFill>
              <a:srgbClr val="A8D8F0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363682</xdr:colOff>
      <xdr:row>34</xdr:row>
      <xdr:rowOff>177942</xdr:rowOff>
    </xdr:from>
    <xdr:to>
      <xdr:col>12</xdr:col>
      <xdr:colOff>600438</xdr:colOff>
      <xdr:row>49</xdr:row>
      <xdr:rowOff>63642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716C03-A53F-5D2F-E69A-B9E42795CD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392906</xdr:colOff>
      <xdr:row>19</xdr:row>
      <xdr:rowOff>10678</xdr:rowOff>
    </xdr:from>
    <xdr:to>
      <xdr:col>12</xdr:col>
      <xdr:colOff>629662</xdr:colOff>
      <xdr:row>33</xdr:row>
      <xdr:rowOff>86878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0BEF4DB-4FBC-4DE9-875A-AC8C68B09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0.42069</cdr:x>
      <cdr:y>0.43229</cdr:y>
    </cdr:from>
    <cdr:to>
      <cdr:x>0.67108</cdr:x>
      <cdr:y>0.61243</cdr:y>
    </cdr:to>
    <cdr:sp macro="" textlink="Dashboard!$I$14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A7D4589C-9550-AEBE-F5CB-4DFEC95589E7}"/>
            </a:ext>
          </a:extLst>
        </cdr:cNvPr>
        <cdr:cNvSpPr txBox="1"/>
      </cdr:nvSpPr>
      <cdr:spPr>
        <a:xfrm xmlns:a="http://schemas.openxmlformats.org/drawingml/2006/main">
          <a:off x="1977939" y="1185854"/>
          <a:ext cx="1177218" cy="4941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FE19D92-E52B-4BD0-8FC5-2B12B77B56BB}" type="TxLink">
            <a:rPr lang="en-US" sz="1800" b="1" i="0" u="none" strike="noStrike" kern="1200">
              <a:solidFill>
                <a:srgbClr val="FFFFFF"/>
              </a:solidFill>
              <a:latin typeface="Calibri"/>
              <a:cs typeface="Calibri"/>
            </a:rPr>
            <a:pPr/>
            <a:t>94.0%</a:t>
          </a:fld>
          <a:endParaRPr lang="en-GB" sz="1800" b="1" kern="1200">
            <a:solidFill>
              <a:schemeClr val="bg1"/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83.938737962962" createdVersion="8" refreshedVersion="8" minRefreshableVersion="3" recordCount="5" xr:uid="{05480E05-BFAD-4D06-A809-07C1C10DAA32}">
  <cacheSource type="worksheet">
    <worksheetSource name="tbl_ImportLog"/>
  </cacheSource>
  <cacheFields count="7">
    <cacheField name="Batch_ID" numFmtId="0">
      <sharedItems containsBlank="1" count="2">
        <s v="BATCH-20260918-222940"/>
        <m u="1"/>
      </sharedItems>
    </cacheField>
    <cacheField name="Timestamp" numFmtId="22">
      <sharedItems containsSemiMixedTypes="0" containsNonDate="0" containsDate="1" containsString="0" minDate="2026-09-18T22:29:40" maxDate="2026-09-18T22:29:42"/>
    </cacheField>
    <cacheField name="File_Name" numFmtId="0">
      <sharedItems containsBlank="1" count="5">
        <s v="ABV_Station_Report.xlsx"/>
        <s v="KAN_Station_Report.xlsx"/>
        <s v="LOS_Station_Report.xlsx"/>
        <s v="PHC_Station_Report.xlsx"/>
        <m/>
      </sharedItems>
    </cacheField>
    <cacheField name="Status" numFmtId="0">
      <sharedItems/>
    </cacheField>
    <cacheField name="Rows_Imported" numFmtId="0">
      <sharedItems containsString="0" containsBlank="1" containsNumber="1" containsInteger="1" minValue="11" maxValue="12"/>
    </cacheField>
    <cacheField name="Rows_Flagged" numFmtId="0">
      <sharedItems containsString="0" containsBlank="1" containsNumber="1" containsInteger="1" minValue="0" maxValue="2"/>
    </cacheField>
    <cacheField name="Messag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283.94501909722" createdVersion="8" refreshedVersion="8" minRefreshableVersion="3" recordCount="47" xr:uid="{28672C7B-6A4C-49B8-9488-26C8CE043EF7}">
  <cacheSource type="worksheet">
    <worksheetSource name="tbl_MasterData"/>
  </cacheSource>
  <cacheFields count="14">
    <cacheField name="Station_Code" numFmtId="0">
      <sharedItems count="4">
        <s v="ABV"/>
        <s v="KAN"/>
        <s v="LOS"/>
        <s v="PHC"/>
      </sharedItems>
    </cacheField>
    <cacheField name="Station_Name" numFmtId="0">
      <sharedItems/>
    </cacheField>
    <cacheField name="Report_Date" numFmtId="14">
      <sharedItems containsSemiMixedTypes="0" containsNonDate="0" containsDate="1" containsString="0" minDate="2026-08-01T00:00:00" maxDate="2026-08-13T00:00:00" count="12"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</sharedItems>
    </cacheField>
    <cacheField name="Flights_Handled" numFmtId="0">
      <sharedItems containsSemiMixedTypes="0" containsString="0" containsNumber="1" containsInteger="1" minValue="11" maxValue="53"/>
    </cacheField>
    <cacheField name="OnTime_Departures" numFmtId="0">
      <sharedItems containsSemiMixedTypes="0" containsString="0" containsNumber="1" containsInteger="1" minValue="6" maxValue="43"/>
    </cacheField>
    <cacheField name="Delayed_Departures" numFmtId="0">
      <sharedItems containsSemiMixedTypes="0" containsString="0" containsNumber="1" containsInteger="1" minValue="2" maxValue="11"/>
    </cacheField>
    <cacheField name="Cancelled_Flights" numFmtId="0">
      <sharedItems containsSemiMixedTypes="0" containsString="0" containsNumber="1" containsInteger="1" minValue="0" maxValue="2"/>
    </cacheField>
    <cacheField name="Avg_Turnaround_Min" numFmtId="0">
      <sharedItems containsSemiMixedTypes="0" containsString="0" containsNumber="1" minValue="24.5" maxValue="41.7"/>
    </cacheField>
    <cacheField name="Fuel_Uplift_Litres" numFmtId="0">
      <sharedItems containsString="0" containsBlank="1" containsNumber="1" containsInteger="1" minValue="43986" maxValue="158657"/>
    </cacheField>
    <cacheField name="Passengers_Handled" numFmtId="0">
      <sharedItems containsSemiMixedTypes="0" containsString="0" containsNumber="1" containsInteger="1" minValue="992" maxValue="6351"/>
    </cacheField>
    <cacheField name="Source_File" numFmtId="0">
      <sharedItems/>
    </cacheField>
    <cacheField name="Import_Batch_ID" numFmtId="0">
      <sharedItems/>
    </cacheField>
    <cacheField name="Import_Timestamp" numFmtId="22">
      <sharedItems containsSemiMixedTypes="0" containsNonDate="0" containsDate="1" containsString="0" minDate="2026-09-18T22:29:40" maxDate="2026-09-18T22:29:42"/>
    </cacheField>
    <cacheField name="OnTime_Pct" numFmtId="0" formula="OnTime_Departures/Flights_Handled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d v="2026-09-18T22:29:40"/>
    <x v="0"/>
    <s v="OK"/>
    <n v="12"/>
    <n v="0"/>
    <s v="OK: ABV_Station_Report.xlsx -- 12 rows, 0 flagged, 0 duplicate, 12 written"/>
  </r>
  <r>
    <x v="0"/>
    <d v="2026-09-18T22:29:41"/>
    <x v="1"/>
    <s v="OK"/>
    <n v="11"/>
    <n v="2"/>
    <s v="OK: KAN_Station_Report.xlsx -- 14 rows, 2 flagged, 1 duplicate, 11 written"/>
  </r>
  <r>
    <x v="0"/>
    <d v="2026-09-18T22:29:41"/>
    <x v="2"/>
    <s v="OK"/>
    <n v="12"/>
    <n v="0"/>
    <s v="OK: LOS_Station_Report.xlsx -- 12 rows, 0 flagged, 0 duplicate, 12 written"/>
  </r>
  <r>
    <x v="0"/>
    <d v="2026-09-18T22:29:42"/>
    <x v="3"/>
    <s v="OK"/>
    <n v="12"/>
    <n v="0"/>
    <s v="OK: PHC_Station_Report.xlsx -- 12 rows, 0 flagged, 0 duplicate, 12 written"/>
  </r>
  <r>
    <x v="0"/>
    <d v="2026-09-18T22:29:42"/>
    <x v="4"/>
    <s v="COMPLETE"/>
    <m/>
    <m/>
    <s v="RUN BATCH-20260918-222940 COMPLETE: 4 OK, 0 failed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x v="0"/>
    <s v="Abuja"/>
    <x v="0"/>
    <n v="33"/>
    <n v="26"/>
    <n v="6"/>
    <n v="1"/>
    <n v="37.9"/>
    <n v="88202"/>
    <n v="3507"/>
    <s v="ABV_Station_Report.xlsx"/>
    <s v="BATCH-20260918-222940"/>
    <d v="2026-09-18T22:29:40"/>
  </r>
  <r>
    <x v="0"/>
    <s v="Abuja"/>
    <x v="1"/>
    <n v="29"/>
    <n v="22"/>
    <n v="7"/>
    <n v="0"/>
    <n v="30.3"/>
    <n v="68344"/>
    <n v="3025"/>
    <s v="ABV_Station_Report.xlsx"/>
    <s v="BATCH-20260918-222940"/>
    <d v="2026-09-18T22:29:40"/>
  </r>
  <r>
    <x v="0"/>
    <s v="Abuja"/>
    <x v="2"/>
    <n v="32"/>
    <n v="24"/>
    <n v="8"/>
    <n v="0"/>
    <n v="30.1"/>
    <n v="90570"/>
    <n v="3443"/>
    <s v="ABV_Station_Report.xlsx"/>
    <s v="BATCH-20260918-222940"/>
    <d v="2026-09-18T22:29:40"/>
  </r>
  <r>
    <x v="0"/>
    <s v="Abuja"/>
    <x v="3"/>
    <n v="31"/>
    <n v="23"/>
    <n v="6"/>
    <n v="2"/>
    <n v="33"/>
    <n v="86801"/>
    <n v="3319"/>
    <s v="ABV_Station_Report.xlsx"/>
    <s v="BATCH-20260918-222940"/>
    <d v="2026-09-18T22:29:40"/>
  </r>
  <r>
    <x v="0"/>
    <s v="Abuja"/>
    <x v="4"/>
    <n v="33"/>
    <n v="24"/>
    <n v="8"/>
    <n v="1"/>
    <n v="29.4"/>
    <n v="90004"/>
    <n v="3502"/>
    <s v="ABV_Station_Report.xlsx"/>
    <s v="BATCH-20260918-222940"/>
    <d v="2026-09-18T22:29:40"/>
  </r>
  <r>
    <x v="0"/>
    <s v="Abuja"/>
    <x v="5"/>
    <n v="30"/>
    <n v="25"/>
    <n v="4"/>
    <n v="1"/>
    <n v="37"/>
    <n v="76431"/>
    <n v="3106"/>
    <s v="ABV_Station_Report.xlsx"/>
    <s v="BATCH-20260918-222940"/>
    <d v="2026-09-18T22:29:40"/>
  </r>
  <r>
    <x v="0"/>
    <s v="Abuja"/>
    <x v="6"/>
    <n v="28"/>
    <n v="23"/>
    <n v="4"/>
    <n v="1"/>
    <n v="28.9"/>
    <n v="66206"/>
    <n v="2868"/>
    <s v="ABV_Station_Report.xlsx"/>
    <s v="BATCH-20260918-222940"/>
    <d v="2026-09-18T22:29:40"/>
  </r>
  <r>
    <x v="0"/>
    <s v="Abuja"/>
    <x v="7"/>
    <n v="28"/>
    <n v="20"/>
    <n v="6"/>
    <n v="2"/>
    <n v="32.200000000000003"/>
    <n v="66445"/>
    <n v="2937"/>
    <s v="ABV_Station_Report.xlsx"/>
    <s v="BATCH-20260918-222940"/>
    <d v="2026-09-18T22:29:40"/>
  </r>
  <r>
    <x v="0"/>
    <s v="Abuja"/>
    <x v="8"/>
    <n v="35"/>
    <n v="28"/>
    <n v="5"/>
    <n v="2"/>
    <n v="30.5"/>
    <n v="91969"/>
    <n v="3577"/>
    <s v="ABV_Station_Report.xlsx"/>
    <s v="BATCH-20260918-222940"/>
    <d v="2026-09-18T22:29:40"/>
  </r>
  <r>
    <x v="0"/>
    <s v="Abuja"/>
    <x v="9"/>
    <n v="27"/>
    <n v="23"/>
    <n v="3"/>
    <n v="1"/>
    <n v="35.700000000000003"/>
    <n v="67956"/>
    <n v="2810"/>
    <s v="ABV_Station_Report.xlsx"/>
    <s v="BATCH-20260918-222940"/>
    <d v="2026-09-18T22:29:40"/>
  </r>
  <r>
    <x v="0"/>
    <s v="Abuja"/>
    <x v="10"/>
    <n v="32"/>
    <n v="23"/>
    <n v="8"/>
    <n v="1"/>
    <n v="28"/>
    <n v="86896"/>
    <n v="3444"/>
    <s v="ABV_Station_Report.xlsx"/>
    <s v="BATCH-20260918-222940"/>
    <d v="2026-09-18T22:29:40"/>
  </r>
  <r>
    <x v="0"/>
    <s v="Abuja"/>
    <x v="11"/>
    <n v="30"/>
    <n v="25"/>
    <n v="5"/>
    <n v="0"/>
    <n v="33.1"/>
    <n v="71860"/>
    <n v="3210"/>
    <s v="ABV_Station_Report.xlsx"/>
    <s v="BATCH-20260918-222940"/>
    <d v="2026-09-18T22:29:40"/>
  </r>
  <r>
    <x v="1"/>
    <s v="Kano"/>
    <x v="0"/>
    <n v="13"/>
    <n v="7"/>
    <n v="6"/>
    <n v="0"/>
    <n v="30.6"/>
    <m/>
    <n v="1175"/>
    <s v="KAN_Station_Report.xlsx"/>
    <s v="BATCH-20260918-222940"/>
    <d v="2026-09-18T22:29:41"/>
  </r>
  <r>
    <x v="1"/>
    <s v="Kano"/>
    <x v="1"/>
    <n v="17"/>
    <n v="9"/>
    <n v="6"/>
    <n v="2"/>
    <n v="30.5"/>
    <m/>
    <n v="1445"/>
    <s v="KAN_Station_Report.xlsx"/>
    <s v="BATCH-20260918-222940"/>
    <d v="2026-09-18T22:29:41"/>
  </r>
  <r>
    <x v="1"/>
    <s v="Kano"/>
    <x v="2"/>
    <n v="16"/>
    <n v="11"/>
    <n v="5"/>
    <n v="0"/>
    <n v="26.5"/>
    <m/>
    <n v="1454"/>
    <s v="KAN_Station_Report.xlsx"/>
    <s v="BATCH-20260918-222940"/>
    <d v="2026-09-18T22:29:41"/>
  </r>
  <r>
    <x v="1"/>
    <s v="Kano"/>
    <x v="3"/>
    <n v="12"/>
    <n v="9"/>
    <n v="3"/>
    <n v="0"/>
    <n v="26.8"/>
    <m/>
    <n v="999"/>
    <s v="KAN_Station_Report.xlsx"/>
    <s v="BATCH-20260918-222940"/>
    <d v="2026-09-18T22:29:41"/>
  </r>
  <r>
    <x v="1"/>
    <s v="Kano"/>
    <x v="4"/>
    <n v="17"/>
    <n v="13"/>
    <n v="4"/>
    <n v="0"/>
    <n v="24.5"/>
    <m/>
    <n v="1433"/>
    <s v="KAN_Station_Report.xlsx"/>
    <s v="BATCH-20260918-222940"/>
    <d v="2026-09-18T22:29:41"/>
  </r>
  <r>
    <x v="1"/>
    <s v="Kano"/>
    <x v="5"/>
    <n v="11"/>
    <n v="6"/>
    <n v="5"/>
    <n v="0"/>
    <n v="28.1"/>
    <m/>
    <n v="992"/>
    <s v="KAN_Station_Report.xlsx"/>
    <s v="BATCH-20260918-222940"/>
    <d v="2026-09-18T22:29:41"/>
  </r>
  <r>
    <x v="1"/>
    <s v="Kano"/>
    <x v="7"/>
    <n v="17"/>
    <n v="11"/>
    <n v="5"/>
    <n v="1"/>
    <n v="31"/>
    <m/>
    <n v="1630"/>
    <s v="KAN_Station_Report.xlsx"/>
    <s v="BATCH-20260918-222940"/>
    <d v="2026-09-18T22:29:41"/>
  </r>
  <r>
    <x v="1"/>
    <s v="Kano"/>
    <x v="8"/>
    <n v="18"/>
    <n v="13"/>
    <n v="5"/>
    <n v="0"/>
    <n v="25.9"/>
    <m/>
    <n v="1534"/>
    <s v="KAN_Station_Report.xlsx"/>
    <s v="BATCH-20260918-222940"/>
    <d v="2026-09-18T22:29:41"/>
  </r>
  <r>
    <x v="1"/>
    <s v="Kano"/>
    <x v="9"/>
    <n v="19"/>
    <n v="15"/>
    <n v="4"/>
    <n v="0"/>
    <n v="31.5"/>
    <m/>
    <n v="1759"/>
    <s v="KAN_Station_Report.xlsx"/>
    <s v="BATCH-20260918-222940"/>
    <d v="2026-09-18T22:29:41"/>
  </r>
  <r>
    <x v="1"/>
    <s v="Kano"/>
    <x v="10"/>
    <n v="17"/>
    <n v="13"/>
    <n v="2"/>
    <n v="2"/>
    <n v="25.6"/>
    <m/>
    <n v="1450"/>
    <s v="KAN_Station_Report.xlsx"/>
    <s v="BATCH-20260918-222940"/>
    <d v="2026-09-18T22:29:41"/>
  </r>
  <r>
    <x v="1"/>
    <s v="Kano"/>
    <x v="11"/>
    <n v="12"/>
    <n v="6"/>
    <n v="4"/>
    <n v="2"/>
    <n v="24.7"/>
    <m/>
    <n v="1083"/>
    <s v="KAN_Station_Report.xlsx"/>
    <s v="BATCH-20260918-222940"/>
    <d v="2026-09-18T22:29:41"/>
  </r>
  <r>
    <x v="2"/>
    <s v="Lagos"/>
    <x v="0"/>
    <n v="45"/>
    <n v="34"/>
    <n v="9"/>
    <n v="2"/>
    <n v="35.799999999999997"/>
    <n v="123276"/>
    <n v="5398"/>
    <s v="LOS_Station_Report.xlsx"/>
    <s v="BATCH-20260918-222940"/>
    <d v="2026-09-18T22:29:41"/>
  </r>
  <r>
    <x v="2"/>
    <s v="Lagos"/>
    <x v="1"/>
    <n v="45"/>
    <n v="38"/>
    <n v="7"/>
    <n v="0"/>
    <n v="38.9"/>
    <n v="118280"/>
    <n v="5233"/>
    <s v="LOS_Station_Report.xlsx"/>
    <s v="BATCH-20260918-222940"/>
    <d v="2026-09-18T22:29:41"/>
  </r>
  <r>
    <x v="2"/>
    <s v="Lagos"/>
    <x v="2"/>
    <n v="47"/>
    <n v="37"/>
    <n v="8"/>
    <n v="2"/>
    <n v="39"/>
    <n v="137970"/>
    <n v="5629"/>
    <s v="LOS_Station_Report.xlsx"/>
    <s v="BATCH-20260918-222940"/>
    <d v="2026-09-18T22:29:41"/>
  </r>
  <r>
    <x v="2"/>
    <s v="Lagos"/>
    <x v="3"/>
    <n v="52"/>
    <n v="43"/>
    <n v="9"/>
    <n v="0"/>
    <n v="37.5"/>
    <n v="144110"/>
    <n v="6037"/>
    <s v="LOS_Station_Report.xlsx"/>
    <s v="BATCH-20260918-222940"/>
    <d v="2026-09-18T22:29:41"/>
  </r>
  <r>
    <x v="2"/>
    <s v="Lagos"/>
    <x v="4"/>
    <n v="46"/>
    <n v="38"/>
    <n v="7"/>
    <n v="1"/>
    <n v="35.799999999999997"/>
    <n v="125805"/>
    <n v="5523"/>
    <s v="LOS_Station_Report.xlsx"/>
    <s v="BATCH-20260918-222940"/>
    <d v="2026-09-18T22:29:41"/>
  </r>
  <r>
    <x v="2"/>
    <s v="Lagos"/>
    <x v="5"/>
    <n v="49"/>
    <n v="38"/>
    <n v="11"/>
    <n v="0"/>
    <n v="36.799999999999997"/>
    <n v="138092"/>
    <n v="5770"/>
    <s v="LOS_Station_Report.xlsx"/>
    <s v="BATCH-20260918-222940"/>
    <d v="2026-09-18T22:29:41"/>
  </r>
  <r>
    <x v="2"/>
    <s v="Lagos"/>
    <x v="6"/>
    <n v="53"/>
    <n v="43"/>
    <n v="10"/>
    <n v="0"/>
    <n v="40.299999999999997"/>
    <n v="154814"/>
    <n v="6250"/>
    <s v="LOS_Station_Report.xlsx"/>
    <s v="BATCH-20260918-222940"/>
    <d v="2026-09-18T22:29:41"/>
  </r>
  <r>
    <x v="2"/>
    <s v="Lagos"/>
    <x v="7"/>
    <n v="45"/>
    <n v="38"/>
    <n v="6"/>
    <n v="1"/>
    <n v="41.3"/>
    <n v="133593"/>
    <n v="5302"/>
    <s v="LOS_Station_Report.xlsx"/>
    <s v="BATCH-20260918-222940"/>
    <d v="2026-09-18T22:29:41"/>
  </r>
  <r>
    <x v="2"/>
    <s v="Lagos"/>
    <x v="8"/>
    <n v="53"/>
    <n v="42"/>
    <n v="9"/>
    <n v="2"/>
    <n v="33.700000000000003"/>
    <n v="158657"/>
    <n v="6351"/>
    <s v="LOS_Station_Report.xlsx"/>
    <s v="BATCH-20260918-222940"/>
    <d v="2026-09-18T22:29:41"/>
  </r>
  <r>
    <x v="2"/>
    <s v="Lagos"/>
    <x v="9"/>
    <n v="48"/>
    <n v="37"/>
    <n v="11"/>
    <n v="0"/>
    <n v="41.7"/>
    <n v="135863"/>
    <n v="5680"/>
    <s v="LOS_Station_Report.xlsx"/>
    <s v="BATCH-20260918-222940"/>
    <d v="2026-09-18T22:29:41"/>
  </r>
  <r>
    <x v="2"/>
    <s v="Lagos"/>
    <x v="10"/>
    <n v="49"/>
    <n v="39"/>
    <n v="9"/>
    <n v="1"/>
    <n v="36.6"/>
    <n v="146936"/>
    <n v="5861"/>
    <s v="LOS_Station_Report.xlsx"/>
    <s v="BATCH-20260918-222940"/>
    <d v="2026-09-18T22:29:41"/>
  </r>
  <r>
    <x v="2"/>
    <s v="Lagos"/>
    <x v="11"/>
    <n v="45"/>
    <n v="38"/>
    <n v="5"/>
    <n v="2"/>
    <n v="34.700000000000003"/>
    <n v="136480"/>
    <n v="5251"/>
    <s v="LOS_Station_Report.xlsx"/>
    <s v="BATCH-20260918-222940"/>
    <d v="2026-09-18T22:29:41"/>
  </r>
  <r>
    <x v="3"/>
    <s v="Port Harcourt"/>
    <x v="0"/>
    <n v="22"/>
    <n v="18"/>
    <n v="2"/>
    <n v="2"/>
    <n v="28"/>
    <n v="49324"/>
    <n v="2031"/>
    <s v="PHC_Station_Report.xlsx"/>
    <s v="BATCH-20260918-222940"/>
    <d v="2026-09-18T22:29:42"/>
  </r>
  <r>
    <x v="3"/>
    <s v="Port Harcourt"/>
    <x v="1"/>
    <n v="26"/>
    <n v="21"/>
    <n v="5"/>
    <n v="0"/>
    <n v="32"/>
    <n v="59664"/>
    <n v="2398"/>
    <s v="PHC_Station_Report.xlsx"/>
    <s v="BATCH-20260918-222940"/>
    <d v="2026-09-18T22:29:42"/>
  </r>
  <r>
    <x v="3"/>
    <s v="Port Harcourt"/>
    <x v="2"/>
    <n v="23"/>
    <n v="17"/>
    <n v="6"/>
    <n v="0"/>
    <n v="26.6"/>
    <n v="56899"/>
    <n v="2105"/>
    <s v="PHC_Station_Report.xlsx"/>
    <s v="BATCH-20260918-222940"/>
    <d v="2026-09-18T22:29:42"/>
  </r>
  <r>
    <x v="3"/>
    <s v="Port Harcourt"/>
    <x v="3"/>
    <n v="19"/>
    <n v="15"/>
    <n v="4"/>
    <n v="0"/>
    <n v="35.799999999999997"/>
    <n v="43986"/>
    <n v="1737"/>
    <s v="PHC_Station_Report.xlsx"/>
    <s v="BATCH-20260918-222940"/>
    <d v="2026-09-18T22:29:42"/>
  </r>
  <r>
    <x v="3"/>
    <s v="Port Harcourt"/>
    <x v="4"/>
    <n v="20"/>
    <n v="16"/>
    <n v="2"/>
    <n v="2"/>
    <n v="27.7"/>
    <n v="46255"/>
    <n v="1955"/>
    <s v="PHC_Station_Report.xlsx"/>
    <s v="BATCH-20260918-222940"/>
    <d v="2026-09-18T22:29:42"/>
  </r>
  <r>
    <x v="3"/>
    <s v="Port Harcourt"/>
    <x v="5"/>
    <n v="24"/>
    <n v="17"/>
    <n v="5"/>
    <n v="2"/>
    <n v="33.6"/>
    <n v="57296"/>
    <n v="2362"/>
    <s v="PHC_Station_Report.xlsx"/>
    <s v="BATCH-20260918-222940"/>
    <d v="2026-09-18T22:29:42"/>
  </r>
  <r>
    <x v="3"/>
    <s v="Port Harcourt"/>
    <x v="6"/>
    <n v="22"/>
    <n v="17"/>
    <n v="3"/>
    <n v="2"/>
    <n v="32.5"/>
    <n v="49974"/>
    <n v="2122"/>
    <s v="PHC_Station_Report.xlsx"/>
    <s v="BATCH-20260918-222940"/>
    <d v="2026-09-18T22:29:42"/>
  </r>
  <r>
    <x v="3"/>
    <s v="Port Harcourt"/>
    <x v="7"/>
    <n v="25"/>
    <n v="16"/>
    <n v="9"/>
    <n v="0"/>
    <n v="28.2"/>
    <n v="55638"/>
    <n v="2425"/>
    <s v="PHC_Station_Report.xlsx"/>
    <s v="BATCH-20260918-222940"/>
    <d v="2026-09-18T22:29:42"/>
  </r>
  <r>
    <x v="3"/>
    <s v="Port Harcourt"/>
    <x v="8"/>
    <n v="26"/>
    <n v="18"/>
    <n v="6"/>
    <n v="2"/>
    <n v="28.2"/>
    <n v="54669"/>
    <n v="2531"/>
    <s v="PHC_Station_Report.xlsx"/>
    <s v="BATCH-20260918-222940"/>
    <d v="2026-09-18T22:29:42"/>
  </r>
  <r>
    <x v="3"/>
    <s v="Port Harcourt"/>
    <x v="9"/>
    <n v="18"/>
    <n v="12"/>
    <n v="6"/>
    <n v="0"/>
    <n v="35.1"/>
    <n v="44378"/>
    <n v="1628"/>
    <s v="PHC_Station_Report.xlsx"/>
    <s v="BATCH-20260918-222940"/>
    <d v="2026-09-18T22:29:42"/>
  </r>
  <r>
    <x v="3"/>
    <s v="Port Harcourt"/>
    <x v="10"/>
    <n v="26"/>
    <n v="18"/>
    <n v="7"/>
    <n v="1"/>
    <n v="32.700000000000003"/>
    <n v="56382"/>
    <n v="2403"/>
    <s v="PHC_Station_Report.xlsx"/>
    <s v="BATCH-20260918-222940"/>
    <d v="2026-09-18T22:29:42"/>
  </r>
  <r>
    <x v="3"/>
    <s v="Port Harcourt"/>
    <x v="11"/>
    <n v="27"/>
    <n v="22"/>
    <n v="4"/>
    <n v="1"/>
    <n v="28.4"/>
    <n v="61764"/>
    <n v="2569"/>
    <s v="PHC_Station_Report.xlsx"/>
    <s v="BATCH-20260918-222940"/>
    <d v="2026-09-18T22:29:4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C556BA-E208-41F4-93D2-7E30E0CBFB10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28:P35" firstHeaderRow="0" firstDataRow="1" firstDataCol="1"/>
  <pivotFields count="7">
    <pivotField axis="axisRow" showAll="0">
      <items count="3">
        <item m="1" x="1"/>
        <item x="0"/>
        <item t="default"/>
      </items>
    </pivotField>
    <pivotField numFmtId="22" showAll="0"/>
    <pivotField axis="axisRow" showAll="0">
      <items count="6">
        <item x="4"/>
        <item x="0"/>
        <item x="1"/>
        <item x="2"/>
        <item x="3"/>
        <item t="default"/>
      </items>
    </pivotField>
    <pivotField showAll="0"/>
    <pivotField dataField="1" showAll="0"/>
    <pivotField dataField="1" showAll="0"/>
    <pivotField showAll="0"/>
  </pivotFields>
  <rowFields count="2">
    <field x="0"/>
    <field x="2"/>
  </rowFields>
  <rowItems count="7">
    <i>
      <x v="1"/>
    </i>
    <i r="1">
      <x/>
    </i>
    <i r="1">
      <x v="1"/>
    </i>
    <i r="1">
      <x v="2"/>
    </i>
    <i r="1">
      <x v="3"/>
    </i>
    <i r="1"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Rows_Imported" fld="4" baseField="2" baseItem="1"/>
    <dataField name="Sum of Rows_Flagged" fld="5" baseField="2" baseItem="1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447F9D-4A3E-4B57-B5FD-42F0CD767E2E}" name="pvt_FlightsTrend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N68:S82" firstHeaderRow="1" firstDataRow="2" firstDataCol="1"/>
  <pivotFields count="14">
    <pivotField axis="axisCol" showAll="0">
      <items count="5">
        <item x="0"/>
        <item x="1"/>
        <item x="2"/>
        <item x="3"/>
        <item t="default"/>
      </items>
    </pivotField>
    <pivotField showAll="0"/>
    <pivotField axis="axisRow" numFmtId="16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dragToRow="0" dragToCol="0" dragToPage="0" showAll="0" defaultSubtotal="0"/>
  </pivotFields>
  <rowFields count="1">
    <field x="2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dataFields count="1">
    <dataField name="Sum of Flights_Handled" fld="3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A8397C-0613-4FD0-856D-B8A0DD193EE4}" name="pvt_OnTimeChart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N48:O53" firstHeaderRow="1" firstDataRow="1" firstDataCol="1"/>
  <pivotFields count="14">
    <pivotField axis="axisRow" showAll="0">
      <items count="5">
        <item x="0"/>
        <item x="1"/>
        <item x="2"/>
        <item x="3"/>
        <item t="default"/>
      </items>
    </pivotField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dataField="1" dragToRow="0" dragToCol="0" dragToPage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OnTime_Pct" fld="13" baseField="0" baseItem="0" numFmtId="164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D888A7-4A3C-43ED-A21E-848802267791}" name="PivotTable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N95:O100" firstHeaderRow="1" firstDataRow="1" firstDataCol="1"/>
  <pivotFields count="14">
    <pivotField axis="axisRow" showAll="0">
      <items count="5">
        <item x="0"/>
        <item x="1"/>
        <item x="2"/>
        <item x="3"/>
        <item t="default"/>
      </items>
    </pivotField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22" showAll="0"/>
    <pivotField dragToRow="0" dragToCol="0" dragToPage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Flights Handled" fld="3" baseField="0" baseItem="0"/>
  </dataFields>
  <chartFormats count="1"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F400B0-6CA4-4D05-9304-EB67F1FAB1A1}" name="pvt_StationMetrics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N38:T43" firstHeaderRow="0" firstDataRow="1" firstDataCol="1"/>
  <pivotFields count="14">
    <pivotField axis="axisRow" showAll="0">
      <items count="5">
        <item x="0"/>
        <item x="1"/>
        <item x="2"/>
        <item x="3"/>
        <item t="default"/>
      </items>
    </pivotField>
    <pivotField showAll="0"/>
    <pivotField numFmtId="14" showAll="0"/>
    <pivotField dataField="1"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numFmtId="22" showAll="0"/>
    <pivotField dataField="1" dragToRow="0" dragToCol="0" dragToPage="0" showAll="0" defaultSubtota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 of Flights_Handled" fld="3" baseField="0" baseItem="0"/>
    <dataField name="Sum of OnTime_Departures" fld="4" baseField="0" baseItem="0"/>
    <dataField name="Sum of Delayed_Departures" fld="5" baseField="0" baseItem="0"/>
    <dataField name="Sum of Cancelled_Flights" fld="6" baseField="0" baseItem="0"/>
    <dataField name="Sum of Passengers_Handled" fld="9" baseField="0" baseItem="0"/>
    <dataField name="On-Time %" fld="13" baseField="0" baseItem="0" numFmtId="164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8473C70-2D2F-4453-98D1-D5E1F04D76E0}" name="tbl_MasterData" displayName="tbl_MasterData" ref="A1:M48" totalsRowShown="0" headerRowDxfId="48" dataDxfId="47">
  <autoFilter ref="A1:M48" xr:uid="{D8473C70-2D2F-4453-98D1-D5E1F04D76E0}"/>
  <tableColumns count="13">
    <tableColumn id="1" xr3:uid="{B1E7568C-969A-47CD-8B14-0513B336FEBD}" name="Station_Code" dataDxfId="46"/>
    <tableColumn id="2" xr3:uid="{506270D2-E9ED-4158-9C07-A3BBA500EAC7}" name="Station_Name" dataDxfId="45"/>
    <tableColumn id="3" xr3:uid="{74A4E3E4-CE19-4853-9DAF-D08D03D8A19B}" name="Report_Date" dataDxfId="44"/>
    <tableColumn id="4" xr3:uid="{0BC02397-115A-472B-B436-836F8524E57D}" name="Flights_Handled" dataDxfId="43"/>
    <tableColumn id="5" xr3:uid="{D4BAAC19-7EB0-4725-8AD1-4E927052043D}" name="OnTime_Departures" dataDxfId="42"/>
    <tableColumn id="6" xr3:uid="{90F88D19-D322-4B28-B6D1-69044A52E9DF}" name="Delayed_Departures" dataDxfId="41"/>
    <tableColumn id="7" xr3:uid="{E15FEFDA-028E-4649-B2A8-ED424BB2B248}" name="Cancelled_Flights" dataDxfId="40"/>
    <tableColumn id="8" xr3:uid="{8E866120-74D7-414A-B441-4D0D0B1161F6}" name="Avg_Turnaround_Min" dataDxfId="39"/>
    <tableColumn id="9" xr3:uid="{646735CA-1EC2-4307-83CC-DCB4C03305C8}" name="Fuel_Uplift_Litres" dataDxfId="38"/>
    <tableColumn id="10" xr3:uid="{E3723C39-1713-4FA1-B260-2DC6037CFAF6}" name="Passengers_Handled" dataDxfId="37"/>
    <tableColumn id="11" xr3:uid="{FE0CD018-3E10-44DC-BE62-57A4969E0B0B}" name="Source_File" dataDxfId="36"/>
    <tableColumn id="12" xr3:uid="{786C092A-34F9-4543-A4FE-771E253561C9}" name="Import_Batch_ID" dataDxfId="35"/>
    <tableColumn id="13" xr3:uid="{D2E149F2-956C-446E-B1BD-3096FFBBF4DD}" name="Import_Timestamp" dataDxfId="34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C19D121-D0CF-4AA0-96AA-52733FEDFA33}" name="tbl_ImportLog" displayName="tbl_ImportLog" ref="A1:H16" totalsRowShown="0" headerRowDxfId="29" dataDxfId="27" headerRowBorderDxfId="28">
  <autoFilter ref="A1:H16" xr:uid="{AC19D121-D0CF-4AA0-96AA-52733FEDFA33}"/>
  <tableColumns count="8">
    <tableColumn id="1" xr3:uid="{A2FD0727-72B0-4DFF-BD6C-C337B355D461}" name="Batch_ID" dataDxfId="26"/>
    <tableColumn id="2" xr3:uid="{98505846-536F-49BF-B9F3-ABB86E465730}" name="Timestamp" dataDxfId="25"/>
    <tableColumn id="3" xr3:uid="{86B3B839-1692-4F48-B56F-F2DD539F071B}" name="File_Name" dataDxfId="24"/>
    <tableColumn id="4" xr3:uid="{041C8137-4B5E-4205-BB86-245B1B7740A1}" name="Status" dataDxfId="23"/>
    <tableColumn id="5" xr3:uid="{2593EB8D-F364-487F-83AA-12A70C7D7B0E}" name="Rows_Imported" dataDxfId="22"/>
    <tableColumn id="6" xr3:uid="{4B46C0B5-E60F-4717-9795-9B96967368DD}" name="Rows_Flagged" dataDxfId="21"/>
    <tableColumn id="8" xr3:uid="{A920904D-2145-4678-B9C3-77DB18F2C047}" name="Rows_Duplicate" dataDxfId="20"/>
    <tableColumn id="7" xr3:uid="{09110F3A-3F58-4AAA-8AA8-18D1E5A10521}" name="Message" dataDxfId="19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C2ED093-E21F-476E-B12B-B4B092E666DD}" name="tbl_DataQualityLog" displayName="tbl_DataQualityLog" ref="A1:F7" totalsRowShown="0" headerRowDxfId="18">
  <autoFilter ref="A1:F7" xr:uid="{AC2ED093-E21F-476E-B12B-B4B092E666DD}"/>
  <tableColumns count="6">
    <tableColumn id="1" xr3:uid="{416CEEC4-B837-4B20-9BA0-26E544350D1A}" name="Batch_ID"/>
    <tableColumn id="2" xr3:uid="{E4F9DE2B-4BE0-41B0-90B1-A02EAA6EB60F}" name="Timestamp" dataDxfId="17"/>
    <tableColumn id="3" xr3:uid="{3019EA2B-2BAE-47EE-B662-FFB6B86B88C9}" name="Source_File"/>
    <tableColumn id="4" xr3:uid="{F68D9B6F-5E19-4B67-B65C-C0443D033B64}" name="Row_Reference" dataDxfId="16"/>
    <tableColumn id="5" xr3:uid="{025C2CC1-19BC-4BDE-8A55-A368FED0CA9F}" name="Reason" dataDxfId="15"/>
    <tableColumn id="6" xr3:uid="{406268DF-4BD4-4A0F-8DC7-1C1D67F5C6EE}" name="Raw_Values" dataDxfId="14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E8852A-3FE7-42B8-A751-529ED90D59E4}" name="tbl_SourceProfiles" displayName="tbl_SourceProfiles" ref="A1:E21" totalsRowShown="0" headerRowDxfId="11">
  <autoFilter ref="A1:E21" xr:uid="{BFE8852A-3FE7-42B8-A751-529ED90D59E4}"/>
  <tableColumns count="5">
    <tableColumn id="1" xr3:uid="{64C9330E-CA3C-4BF3-842A-3CCFF5F37669}" name="Profile_Name"/>
    <tableColumn id="2" xr3:uid="{CD11CE6B-444A-4E0B-BC4C-217FC935C4C9}" name="Match_Pattern" dataDxfId="10"/>
    <tableColumn id="3" xr3:uid="{E3D65017-B4E1-4A20-92AC-E30E110E0720}" name="Standard_Field"/>
    <tableColumn id="4" xr3:uid="{F30C9D0E-0C2C-46B2-8DC6-F6FAFB266368}" name="Source_Header" dataDxfId="9"/>
    <tableColumn id="5" xr3:uid="{27F97089-00FD-477F-9F4A-8EB721FB9716}" name="Required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051C2D2-6587-469D-B118-29FD12E0A245}" name="tbl_ValidationRules" displayName="tbl_ValidationRules" ref="A1:F10" totalsRowShown="0" headerRowDxfId="4">
  <autoFilter ref="A1:F10" xr:uid="{9051C2D2-6587-469D-B118-29FD12E0A245}"/>
  <tableColumns count="6">
    <tableColumn id="1" xr3:uid="{E422C389-5301-436E-AFDC-80BB1AD6C59F}" name="Field"/>
    <tableColumn id="2" xr3:uid="{46B3D0D7-DFDF-4EBF-8CE3-E5B2CE0EA163}" name="Rule_Type" dataDxfId="3"/>
    <tableColumn id="3" xr3:uid="{EE5DAE80-069F-4454-AEC5-1F4B7CD1220B}" name="Min_Value" dataDxfId="2"/>
    <tableColumn id="4" xr3:uid="{F52EC522-4E59-4B76-B24B-F959CAD41BF0}" name="Max_Value" dataDxfId="1"/>
    <tableColumn id="5" xr3:uid="{CA9B65C6-9E51-4130-91BF-A647D7ED5EE2}" name="Allowed_Values"/>
    <tableColumn id="6" xr3:uid="{4ED11398-C6AE-4BA3-902E-DFF0E8A5F908}" name="Error_Messag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B94CB-6DC7-4FFE-A439-9372A13FC741}">
  <sheetPr codeName="Sheet2">
    <tabColor rgb="FFE67E22"/>
  </sheetPr>
  <dimension ref="A1:M30"/>
  <sheetViews>
    <sheetView showGridLines="0" tabSelected="1" zoomScale="120" zoomScaleNormal="120" workbookViewId="0">
      <selection activeCell="N1" sqref="N1"/>
    </sheetView>
  </sheetViews>
  <sheetFormatPr defaultRowHeight="15" x14ac:dyDescent="0.25"/>
  <cols>
    <col min="1" max="13" width="12.7109375" customWidth="1"/>
  </cols>
  <sheetData>
    <row r="1" spans="1:13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25">
      <c r="A2" s="49" t="s">
        <v>102</v>
      </c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</row>
    <row r="3" spans="1:13" x14ac:dyDescent="0.2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</row>
    <row r="4" spans="1:13" ht="16.5" x14ac:dyDescent="0.3">
      <c r="A4" s="50" t="s">
        <v>103</v>
      </c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</row>
    <row r="5" spans="1:13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</row>
    <row r="6" spans="1:13" x14ac:dyDescent="0.25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</row>
    <row r="7" spans="1:13" x14ac:dyDescent="0.25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</row>
    <row r="8" spans="1:13" x14ac:dyDescent="0.25">
      <c r="A8" s="5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</row>
    <row r="9" spans="1:13" x14ac:dyDescent="0.25">
      <c r="A9" s="5"/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</row>
    <row r="10" spans="1:13" x14ac:dyDescent="0.25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</row>
    <row r="11" spans="1:13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</row>
    <row r="12" spans="1:13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x14ac:dyDescent="0.25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</row>
    <row r="14" spans="1:13" x14ac:dyDescent="0.25">
      <c r="A14" s="5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</row>
    <row r="15" spans="1:13" x14ac:dyDescent="0.25">
      <c r="A15" s="5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6" spans="1:13" x14ac:dyDescent="0.25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</row>
    <row r="17" spans="1:13" x14ac:dyDescent="0.25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</row>
    <row r="18" spans="1:13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13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13" ht="17.25" x14ac:dyDescent="0.3">
      <c r="A20" s="51" t="s">
        <v>104</v>
      </c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</row>
    <row r="21" spans="1:13" ht="15.75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13" ht="17.25" thickTop="1" x14ac:dyDescent="0.3">
      <c r="A22" s="7" t="s">
        <v>27</v>
      </c>
      <c r="B22" s="5"/>
      <c r="C22" s="5"/>
      <c r="D22" s="5"/>
      <c r="E22" s="52" t="str">
        <f>IFERROR(LOOKUP(2,1/(Import_Log!D:D&lt;&gt;""), Import_Log!D:D), "READY")</f>
        <v>COMPLETE</v>
      </c>
      <c r="F22" s="53"/>
      <c r="G22" s="53"/>
      <c r="H22" s="53"/>
      <c r="I22" s="53"/>
      <c r="J22" s="53"/>
      <c r="K22" s="53"/>
      <c r="L22" s="53"/>
      <c r="M22" s="54"/>
    </row>
    <row r="23" spans="1:13" ht="16.5" x14ac:dyDescent="0.3">
      <c r="A23" s="7" t="s">
        <v>105</v>
      </c>
      <c r="B23" s="5"/>
      <c r="C23" s="5"/>
      <c r="D23" s="5"/>
      <c r="E23" s="55">
        <f>IF(MAX(Import_Log!B:B) = 0, "-", MAX(Import_Log!B:B))</f>
        <v>46291.676562499997</v>
      </c>
      <c r="F23" s="56"/>
      <c r="G23" s="56"/>
      <c r="H23" s="56"/>
      <c r="I23" s="56"/>
      <c r="J23" s="56"/>
      <c r="K23" s="56"/>
      <c r="L23" s="56"/>
      <c r="M23" s="57"/>
    </row>
    <row r="24" spans="1:13" ht="16.5" x14ac:dyDescent="0.3">
      <c r="A24" s="7" t="s">
        <v>106</v>
      </c>
      <c r="B24" s="5"/>
      <c r="C24" s="5"/>
      <c r="D24" s="5"/>
      <c r="E24" s="43">
        <f xml:space="preserve"> IFERROR(COUNTIFS(Import_Log!A:A, LOOKUP(2,1/(Import_Log!A:A&lt;&gt;""), Import_Log!A:A), Import_Log!C:C,"&lt;&gt;"),0)</f>
        <v>4</v>
      </c>
      <c r="F24" s="44"/>
      <c r="G24" s="44"/>
      <c r="H24" s="44"/>
      <c r="I24" s="44"/>
      <c r="J24" s="44"/>
      <c r="K24" s="44"/>
      <c r="L24" s="44"/>
      <c r="M24" s="45"/>
    </row>
    <row r="25" spans="1:13" ht="16.5" x14ac:dyDescent="0.3">
      <c r="A25" s="7" t="s">
        <v>108</v>
      </c>
      <c r="B25" s="5"/>
      <c r="C25" s="5"/>
      <c r="D25" s="5"/>
      <c r="E25" s="43">
        <f>ROWS(tbl_MasterData[Flights_Handled])</f>
        <v>47</v>
      </c>
      <c r="F25" s="44"/>
      <c r="G25" s="44"/>
      <c r="H25" s="44"/>
      <c r="I25" s="44"/>
      <c r="J25" s="44"/>
      <c r="K25" s="44"/>
      <c r="L25" s="44"/>
      <c r="M25" s="45"/>
    </row>
    <row r="26" spans="1:13" ht="16.5" x14ac:dyDescent="0.3">
      <c r="A26" s="7" t="s">
        <v>107</v>
      </c>
      <c r="B26" s="5"/>
      <c r="C26" s="5"/>
      <c r="D26" s="5"/>
      <c r="E26" s="43">
        <f>IFERROR(SUMIFS(Import_Log!F:F,Import_Log!A:A, LOOKUP(2,1/(Import_Log!A:A&lt;&gt;""), Import_Log!A:A)),0)</f>
        <v>2</v>
      </c>
      <c r="F26" s="44"/>
      <c r="G26" s="44"/>
      <c r="H26" s="44"/>
      <c r="I26" s="44"/>
      <c r="J26" s="44"/>
      <c r="K26" s="44"/>
      <c r="L26" s="44"/>
      <c r="M26" s="45"/>
    </row>
    <row r="27" spans="1:13" ht="17.25" thickBot="1" x14ac:dyDescent="0.35">
      <c r="A27" s="7" t="s">
        <v>115</v>
      </c>
      <c r="B27" s="5"/>
      <c r="C27" s="5"/>
      <c r="D27" s="5"/>
      <c r="E27" s="46">
        <f>IFERROR(SUMIFS(Import_Log!G:G, Import_Log!A:A, LOOKUP(2,1/(Import_Log!A:A&lt;&gt;""), Import_Log!A:A)),0)</f>
        <v>48</v>
      </c>
      <c r="F27" s="47"/>
      <c r="G27" s="47"/>
      <c r="H27" s="47"/>
      <c r="I27" s="47"/>
      <c r="J27" s="47"/>
      <c r="K27" s="47"/>
      <c r="L27" s="47"/>
      <c r="M27" s="48"/>
    </row>
    <row r="28" spans="1:13" ht="15.75" thickTop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</row>
    <row r="29" spans="1:13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3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</row>
  </sheetData>
  <mergeCells count="9">
    <mergeCell ref="E25:M25"/>
    <mergeCell ref="E26:M26"/>
    <mergeCell ref="E27:M27"/>
    <mergeCell ref="A2:M3"/>
    <mergeCell ref="A4:M4"/>
    <mergeCell ref="A20:M20"/>
    <mergeCell ref="E22:M22"/>
    <mergeCell ref="E23:M23"/>
    <mergeCell ref="E24:M24"/>
  </mergeCells>
  <conditionalFormatting sqref="E22:M22">
    <cfRule type="containsText" dxfId="51" priority="1" operator="containsText" text="FAILED">
      <formula>NOT(ISERROR(SEARCH("FAILED",E22)))</formula>
    </cfRule>
    <cfRule type="containsText" dxfId="50" priority="2" operator="containsText" text="WARNING">
      <formula>NOT(ISERROR(SEARCH("WARNING",E22)))</formula>
    </cfRule>
    <cfRule type="containsText" dxfId="49" priority="3" operator="containsText" text="COMPLETE">
      <formula>NOT(ISERROR(SEARCH("COMPLETE",E22)))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72674-3887-4F6C-AE44-2C747E3542A8}">
  <sheetPr codeName="Sheet1">
    <tabColor rgb="FF0A3D62"/>
  </sheetPr>
  <dimension ref="A1:U100"/>
  <sheetViews>
    <sheetView showGridLines="0" zoomScale="80" zoomScaleNormal="80" workbookViewId="0"/>
  </sheetViews>
  <sheetFormatPr defaultColWidth="0" defaultRowHeight="15" x14ac:dyDescent="0.25"/>
  <cols>
    <col min="1" max="3" width="9.140625" customWidth="1"/>
    <col min="4" max="4" width="15.28515625" customWidth="1"/>
    <col min="5" max="5" width="11.7109375" customWidth="1"/>
    <col min="6" max="6" width="11.42578125" customWidth="1"/>
    <col min="7" max="7" width="12.5703125" customWidth="1"/>
    <col min="8" max="8" width="9.140625" customWidth="1"/>
    <col min="9" max="9" width="15.85546875" customWidth="1"/>
    <col min="10" max="10" width="12.5703125" customWidth="1"/>
    <col min="11" max="11" width="18.28515625" customWidth="1"/>
    <col min="12" max="12" width="12.85546875" customWidth="1"/>
    <col min="13" max="13" width="16.85546875" customWidth="1"/>
    <col min="14" max="14" width="22.7109375" hidden="1" customWidth="1"/>
    <col min="15" max="15" width="16.7109375" hidden="1" customWidth="1"/>
    <col min="16" max="16" width="5.140625" hidden="1" customWidth="1"/>
    <col min="17" max="17" width="4.5703125" hidden="1" customWidth="1"/>
    <col min="18" max="18" width="4.85546875" hidden="1" customWidth="1"/>
    <col min="19" max="19" width="11.5703125" hidden="1" customWidth="1"/>
    <col min="20" max="20" width="10.7109375" hidden="1" customWidth="1"/>
    <col min="21" max="21" width="0" hidden="1" customWidth="1"/>
    <col min="22" max="16384" width="9.140625" hidden="1"/>
  </cols>
  <sheetData>
    <row r="1" spans="1:13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25">
      <c r="A2" s="58" t="s">
        <v>102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</row>
    <row r="3" spans="1:13" ht="15" customHeight="1" x14ac:dyDescent="0.25">
      <c r="A3" s="58"/>
      <c r="B3" s="58"/>
      <c r="C3" s="58"/>
      <c r="D3" s="58"/>
      <c r="E3" s="58"/>
      <c r="F3" s="58"/>
      <c r="G3" s="58"/>
      <c r="H3" s="58"/>
      <c r="I3" s="58"/>
      <c r="J3" s="58"/>
      <c r="K3" s="58"/>
      <c r="L3" s="58"/>
      <c r="M3" s="58"/>
    </row>
    <row r="4" spans="1:13" ht="15" customHeight="1" x14ac:dyDescent="0.3">
      <c r="A4" s="59" t="s">
        <v>129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</row>
    <row r="5" spans="1:13" ht="15" customHeight="1" x14ac:dyDescent="0.25">
      <c r="A5" s="5"/>
      <c r="B5" s="5"/>
      <c r="C5" s="5"/>
      <c r="D5" s="6"/>
      <c r="E5" s="5"/>
      <c r="F5" s="5"/>
      <c r="G5" s="5"/>
      <c r="H5" s="5"/>
      <c r="I5" s="5"/>
      <c r="J5" s="5"/>
      <c r="K5" s="5"/>
      <c r="L5" s="5"/>
      <c r="M5" s="5"/>
    </row>
    <row r="6" spans="1:13" ht="15" customHeight="1" x14ac:dyDescent="0.25">
      <c r="A6" s="5"/>
      <c r="B6" s="5"/>
      <c r="C6" s="5"/>
      <c r="D6" s="6"/>
      <c r="E6" s="5"/>
      <c r="F6" s="5"/>
      <c r="G6" s="5"/>
      <c r="H6" s="5"/>
      <c r="I6" s="5"/>
      <c r="J6" s="5"/>
      <c r="K6" s="5"/>
      <c r="L6" s="5"/>
      <c r="M6" s="5"/>
    </row>
    <row r="7" spans="1:13" x14ac:dyDescent="0.25">
      <c r="A7" s="5"/>
      <c r="B7" s="5"/>
      <c r="C7" s="64" t="s">
        <v>97</v>
      </c>
      <c r="D7" s="65"/>
      <c r="E7" s="5"/>
      <c r="F7" s="64" t="s">
        <v>98</v>
      </c>
      <c r="G7" s="65"/>
      <c r="H7" s="8"/>
      <c r="I7" s="5"/>
      <c r="J7" s="64" t="s">
        <v>99</v>
      </c>
      <c r="K7" s="65"/>
      <c r="L7" s="5"/>
      <c r="M7" s="5"/>
    </row>
    <row r="8" spans="1:13" x14ac:dyDescent="0.25">
      <c r="A8" s="5"/>
      <c r="B8" s="5"/>
      <c r="C8" s="66">
        <f>Q28</f>
        <v>1392</v>
      </c>
      <c r="D8" s="67"/>
      <c r="E8" s="5"/>
      <c r="F8" s="60">
        <f>SUM(tbl_MasterData[OnTime_Departures])/SUM(tbl_MasterData[Flights_Handled])</f>
        <v>0.7693965517241379</v>
      </c>
      <c r="G8" s="61"/>
      <c r="H8" s="8"/>
      <c r="I8" s="5"/>
      <c r="J8" s="70">
        <f>SUM(tbl_MasterData[Passengers_Handled])</f>
        <v>148253</v>
      </c>
      <c r="K8" s="71"/>
      <c r="L8" s="5"/>
      <c r="M8" s="5"/>
    </row>
    <row r="9" spans="1:13" x14ac:dyDescent="0.25">
      <c r="A9" s="5"/>
      <c r="B9" s="5"/>
      <c r="C9" s="66"/>
      <c r="D9" s="67"/>
      <c r="E9" s="5"/>
      <c r="F9" s="60"/>
      <c r="G9" s="61"/>
      <c r="H9" s="8"/>
      <c r="I9" s="5"/>
      <c r="J9" s="70"/>
      <c r="K9" s="71"/>
      <c r="L9" s="5"/>
      <c r="M9" s="5"/>
    </row>
    <row r="10" spans="1:13" ht="15" customHeight="1" x14ac:dyDescent="0.25">
      <c r="A10" s="5"/>
      <c r="B10" s="5"/>
      <c r="C10" s="66"/>
      <c r="D10" s="67"/>
      <c r="E10" s="5"/>
      <c r="F10" s="60"/>
      <c r="G10" s="61"/>
      <c r="H10" s="8"/>
      <c r="I10" s="5"/>
      <c r="J10" s="70"/>
      <c r="K10" s="71"/>
      <c r="L10" s="5"/>
      <c r="M10" s="5"/>
    </row>
    <row r="11" spans="1:13" ht="15" customHeight="1" x14ac:dyDescent="0.25">
      <c r="A11" s="5"/>
      <c r="B11" s="5"/>
      <c r="C11" s="68"/>
      <c r="D11" s="69"/>
      <c r="E11" s="5"/>
      <c r="F11" s="62"/>
      <c r="G11" s="63"/>
      <c r="H11" s="8"/>
      <c r="I11" s="5"/>
      <c r="J11" s="72"/>
      <c r="K11" s="73"/>
      <c r="L11" s="5"/>
      <c r="M11" s="5"/>
    </row>
    <row r="12" spans="1:13" ht="15" customHeight="1" x14ac:dyDescent="0.25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</row>
    <row r="13" spans="1:13" ht="15" customHeight="1" x14ac:dyDescent="0.25">
      <c r="A13" s="5"/>
      <c r="B13" s="5"/>
      <c r="C13" s="5"/>
      <c r="D13" s="5"/>
      <c r="E13" s="64" t="s">
        <v>100</v>
      </c>
      <c r="F13" s="65"/>
      <c r="G13" s="5"/>
      <c r="H13" s="5"/>
      <c r="I13" s="64" t="s">
        <v>101</v>
      </c>
      <c r="J13" s="65"/>
      <c r="K13" s="5"/>
      <c r="L13" s="5"/>
      <c r="M13" s="5"/>
    </row>
    <row r="14" spans="1:13" x14ac:dyDescent="0.25">
      <c r="A14" s="5"/>
      <c r="B14" s="5"/>
      <c r="C14" s="5"/>
      <c r="D14" s="5"/>
      <c r="E14" s="74">
        <f>SUMPRODUCT(tbl_MasterData[Avg_Turnaround_Min], tbl_MasterData[Flights_Handled])/SUM(tbl_MasterData[Flights_Handled])</f>
        <v>33.600359195402305</v>
      </c>
      <c r="F14" s="75"/>
      <c r="G14" s="5"/>
      <c r="H14" s="5"/>
      <c r="I14" s="60">
        <f>IFERROR(SUMIFS(Import_Log!$E$2:$E$5005,Import_Log!$A$2:$A$5005,LOOKUP(2,1/((Import_Log!$A$2:$A$5005&lt;&gt;"")*(Import_Log!$E$2:$E$5005&gt;0)),Import_Log!$A$2:$A$5005))/(SUMIFS(Import_Log!$E$2:$E$5005,Import_Log!$A$2:$A$5005,LOOKUP(2,1/((Import_Log!$A$2:$A$5005&lt;&gt;"")*(Import_Log!$E$2:$E$5005&gt;0)),Import_Log!$A$2:$A$5005))+SUMIFS(Import_Log!$F$2:$F$5005,Import_Log!$A$2:$A$5005,LOOKUP(2,1/((Import_Log!$A$2:$A$5005&lt;&gt;"")*(Import_Log!$E$2:$E$5005&gt;0)),Import_Log!$A$2:$A$5005))+SUMIFS(Import_Log!$G$2:$G$5005,Import_Log!$A$2:$A$5005,LOOKUP(2,1/((Import_Log!$A$2:$A$5005&lt;&gt;"")*(Import_Log!$E$2:$E$5005&gt;0)),Import_Log!$A$2:$A$5005))),"—")</f>
        <v>0.94</v>
      </c>
      <c r="J14" s="61"/>
      <c r="K14" s="5"/>
      <c r="L14" s="5"/>
      <c r="M14" s="5"/>
    </row>
    <row r="15" spans="1:13" x14ac:dyDescent="0.25">
      <c r="A15" s="5"/>
      <c r="B15" s="5"/>
      <c r="C15" s="5"/>
      <c r="D15" s="5"/>
      <c r="E15" s="74"/>
      <c r="F15" s="75"/>
      <c r="G15" s="5"/>
      <c r="H15" s="5"/>
      <c r="I15" s="60"/>
      <c r="J15" s="61"/>
      <c r="K15" s="5"/>
      <c r="L15" s="5"/>
      <c r="M15" s="5"/>
    </row>
    <row r="16" spans="1:13" x14ac:dyDescent="0.25">
      <c r="A16" s="5"/>
      <c r="B16" s="5"/>
      <c r="C16" s="5"/>
      <c r="D16" s="5"/>
      <c r="E16" s="74"/>
      <c r="F16" s="75"/>
      <c r="G16" s="5"/>
      <c r="H16" s="5"/>
      <c r="I16" s="60"/>
      <c r="J16" s="61"/>
      <c r="K16" s="5"/>
      <c r="L16" s="5"/>
      <c r="M16" s="5"/>
    </row>
    <row r="17" spans="1:21" x14ac:dyDescent="0.25">
      <c r="A17" s="5"/>
      <c r="B17" s="5"/>
      <c r="C17" s="5"/>
      <c r="D17" s="5"/>
      <c r="E17" s="76"/>
      <c r="F17" s="77"/>
      <c r="G17" s="5"/>
      <c r="H17" s="5"/>
      <c r="I17" s="62"/>
      <c r="J17" s="63"/>
      <c r="K17" s="5"/>
      <c r="L17" s="5"/>
      <c r="M17" s="5"/>
    </row>
    <row r="18" spans="1:21" x14ac:dyDescent="0.2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</row>
    <row r="19" spans="1:2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</row>
    <row r="20" spans="1:21" x14ac:dyDescent="0.25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</row>
    <row r="21" spans="1:21" x14ac:dyDescent="0.2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</row>
    <row r="22" spans="1:2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</row>
    <row r="23" spans="1:21" x14ac:dyDescent="0.2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</row>
    <row r="24" spans="1:2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</row>
    <row r="25" spans="1:2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</row>
    <row r="26" spans="1:2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</row>
    <row r="27" spans="1:2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</row>
    <row r="28" spans="1:2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1" t="s">
        <v>75</v>
      </c>
      <c r="O28" t="s">
        <v>88</v>
      </c>
      <c r="P28" t="s">
        <v>89</v>
      </c>
      <c r="Q28">
        <f>SUM(tbl_MasterData[Flights_Handled])</f>
        <v>1392</v>
      </c>
      <c r="R28">
        <f>SUM(tbl_MasterData[OnTime_Departures])/SUM(tbl_MasterData[Flights_Handled])</f>
        <v>0.7693965517241379</v>
      </c>
      <c r="S28">
        <f>SUM(tbl_MasterData[Passengers_Handled])</f>
        <v>148253</v>
      </c>
      <c r="T28">
        <f>SUMPRODUCT(tbl_MasterData[Avg_Turnaround_Min],tbl_MasterData[Flights_Handled])/SUM(tbl_MasterData[Flights_Handled])</f>
        <v>33.600359195402305</v>
      </c>
      <c r="U28">
        <f>O88/SUM($O$88:$O$90)</f>
        <v>0.31333333333333335</v>
      </c>
    </row>
    <row r="29" spans="1:21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2" t="s">
        <v>85</v>
      </c>
      <c r="O29">
        <v>47</v>
      </c>
      <c r="P29">
        <v>2</v>
      </c>
    </row>
    <row r="30" spans="1:2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4" t="s">
        <v>84</v>
      </c>
    </row>
    <row r="31" spans="1:2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4" t="s">
        <v>69</v>
      </c>
      <c r="O31">
        <v>12</v>
      </c>
      <c r="P31">
        <v>0</v>
      </c>
    </row>
    <row r="32" spans="1:2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4" t="s">
        <v>58</v>
      </c>
      <c r="O32">
        <v>11</v>
      </c>
      <c r="P32">
        <v>2</v>
      </c>
    </row>
    <row r="33" spans="1:20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4" t="s">
        <v>55</v>
      </c>
      <c r="O33">
        <v>12</v>
      </c>
      <c r="P33">
        <v>0</v>
      </c>
    </row>
    <row r="34" spans="1:20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4" t="s">
        <v>73</v>
      </c>
      <c r="O34">
        <v>12</v>
      </c>
      <c r="P34">
        <v>0</v>
      </c>
    </row>
    <row r="35" spans="1:20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2" t="s">
        <v>76</v>
      </c>
      <c r="O35">
        <v>47</v>
      </c>
      <c r="P35">
        <v>2</v>
      </c>
    </row>
    <row r="36" spans="1:20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</row>
    <row r="37" spans="1:20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</row>
    <row r="38" spans="1:20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1" t="s">
        <v>75</v>
      </c>
      <c r="O38" t="s">
        <v>77</v>
      </c>
      <c r="P38" t="s">
        <v>78</v>
      </c>
      <c r="Q38" t="s">
        <v>79</v>
      </c>
      <c r="R38" t="s">
        <v>80</v>
      </c>
      <c r="S38" t="s">
        <v>81</v>
      </c>
      <c r="T38" t="s">
        <v>83</v>
      </c>
    </row>
    <row r="39" spans="1:20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2" t="s">
        <v>67</v>
      </c>
      <c r="O39">
        <v>368</v>
      </c>
      <c r="P39">
        <v>286</v>
      </c>
      <c r="Q39">
        <v>70</v>
      </c>
      <c r="R39">
        <v>12</v>
      </c>
      <c r="S39">
        <v>38748</v>
      </c>
      <c r="T39" s="3">
        <v>0.77717391304347827</v>
      </c>
    </row>
    <row r="40" spans="1:20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2" t="s">
        <v>63</v>
      </c>
      <c r="O40">
        <v>169</v>
      </c>
      <c r="P40">
        <v>113</v>
      </c>
      <c r="Q40">
        <v>49</v>
      </c>
      <c r="R40">
        <v>7</v>
      </c>
      <c r="S40">
        <v>14954</v>
      </c>
      <c r="T40" s="3">
        <v>0.66863905325443784</v>
      </c>
    </row>
    <row r="41" spans="1:20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2" t="s">
        <v>53</v>
      </c>
      <c r="O41">
        <v>577</v>
      </c>
      <c r="P41">
        <v>465</v>
      </c>
      <c r="Q41">
        <v>101</v>
      </c>
      <c r="R41">
        <v>11</v>
      </c>
      <c r="S41">
        <v>68285</v>
      </c>
      <c r="T41" s="3">
        <v>0.80589254766031193</v>
      </c>
    </row>
    <row r="42" spans="1:20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2" t="s">
        <v>71</v>
      </c>
      <c r="O42">
        <v>278</v>
      </c>
      <c r="P42">
        <v>207</v>
      </c>
      <c r="Q42">
        <v>59</v>
      </c>
      <c r="R42">
        <v>12</v>
      </c>
      <c r="S42">
        <v>26266</v>
      </c>
      <c r="T42" s="3">
        <v>0.74460431654676262</v>
      </c>
    </row>
    <row r="43" spans="1:20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2" t="s">
        <v>76</v>
      </c>
      <c r="O43">
        <v>1392</v>
      </c>
      <c r="P43">
        <v>1071</v>
      </c>
      <c r="Q43">
        <v>279</v>
      </c>
      <c r="R43">
        <v>42</v>
      </c>
      <c r="S43">
        <v>148253</v>
      </c>
      <c r="T43" s="3">
        <v>0.7693965517241379</v>
      </c>
    </row>
    <row r="44" spans="1:20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</row>
    <row r="45" spans="1:20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</row>
    <row r="46" spans="1:20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</row>
    <row r="47" spans="1:20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</row>
    <row r="48" spans="1:20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1" t="s">
        <v>75</v>
      </c>
      <c r="O48" t="s">
        <v>82</v>
      </c>
    </row>
    <row r="49" spans="1:15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2" t="s">
        <v>67</v>
      </c>
      <c r="O49" s="3">
        <v>0.77717391304347827</v>
      </c>
    </row>
    <row r="50" spans="1:15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2" t="s">
        <v>63</v>
      </c>
      <c r="O50" s="3">
        <v>0.66863905325443784</v>
      </c>
    </row>
    <row r="51" spans="1:15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2" t="s">
        <v>53</v>
      </c>
      <c r="O51" s="3">
        <v>0.80589254766031193</v>
      </c>
    </row>
    <row r="52" spans="1:15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2" t="s">
        <v>71</v>
      </c>
      <c r="O52" s="3">
        <v>0.74460431654676262</v>
      </c>
    </row>
    <row r="53" spans="1:15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2" t="s">
        <v>76</v>
      </c>
      <c r="O53" s="3">
        <v>0.7693965517241379</v>
      </c>
    </row>
    <row r="54" spans="1:15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</row>
    <row r="55" spans="1:15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</row>
    <row r="56" spans="1:15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</row>
    <row r="57" spans="1:15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</row>
    <row r="58" spans="1:15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</row>
    <row r="59" spans="1:15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</row>
    <row r="60" spans="1:15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</row>
    <row r="61" spans="1:15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</row>
    <row r="62" spans="1:15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</row>
    <row r="63" spans="1:15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</row>
    <row r="64" spans="1:15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</row>
    <row r="65" spans="1:19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</row>
    <row r="66" spans="1:19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</row>
    <row r="67" spans="1:19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</row>
    <row r="68" spans="1:19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1" t="s">
        <v>77</v>
      </c>
      <c r="O68" s="1" t="s">
        <v>90</v>
      </c>
    </row>
    <row r="69" spans="1:19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1" t="s">
        <v>75</v>
      </c>
      <c r="O69" t="s">
        <v>67</v>
      </c>
      <c r="P69" t="s">
        <v>63</v>
      </c>
      <c r="Q69" t="s">
        <v>53</v>
      </c>
      <c r="R69" t="s">
        <v>71</v>
      </c>
      <c r="S69" t="s">
        <v>76</v>
      </c>
    </row>
    <row r="70" spans="1:19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9">
        <v>46235</v>
      </c>
      <c r="O70">
        <v>33</v>
      </c>
      <c r="P70">
        <v>13</v>
      </c>
      <c r="Q70">
        <v>45</v>
      </c>
      <c r="R70">
        <v>22</v>
      </c>
      <c r="S70">
        <v>113</v>
      </c>
    </row>
    <row r="71" spans="1:19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9">
        <v>46236</v>
      </c>
      <c r="O71">
        <v>29</v>
      </c>
      <c r="P71">
        <v>17</v>
      </c>
      <c r="Q71">
        <v>45</v>
      </c>
      <c r="R71">
        <v>26</v>
      </c>
      <c r="S71">
        <v>117</v>
      </c>
    </row>
    <row r="72" spans="1:19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9">
        <v>46237</v>
      </c>
      <c r="O72">
        <v>32</v>
      </c>
      <c r="P72">
        <v>16</v>
      </c>
      <c r="Q72">
        <v>47</v>
      </c>
      <c r="R72">
        <v>23</v>
      </c>
      <c r="S72">
        <v>118</v>
      </c>
    </row>
    <row r="73" spans="1:19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9">
        <v>46238</v>
      </c>
      <c r="O73">
        <v>31</v>
      </c>
      <c r="P73">
        <v>12</v>
      </c>
      <c r="Q73">
        <v>52</v>
      </c>
      <c r="R73">
        <v>19</v>
      </c>
      <c r="S73">
        <v>114</v>
      </c>
    </row>
    <row r="74" spans="1:19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9">
        <v>46239</v>
      </c>
      <c r="O74">
        <v>33</v>
      </c>
      <c r="P74">
        <v>17</v>
      </c>
      <c r="Q74">
        <v>46</v>
      </c>
      <c r="R74">
        <v>20</v>
      </c>
      <c r="S74">
        <v>116</v>
      </c>
    </row>
    <row r="75" spans="1:19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9">
        <v>46240</v>
      </c>
      <c r="O75">
        <v>30</v>
      </c>
      <c r="P75">
        <v>11</v>
      </c>
      <c r="Q75">
        <v>49</v>
      </c>
      <c r="R75">
        <v>24</v>
      </c>
      <c r="S75">
        <v>114</v>
      </c>
    </row>
    <row r="76" spans="1:19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9">
        <v>46241</v>
      </c>
      <c r="O76">
        <v>28</v>
      </c>
      <c r="Q76">
        <v>53</v>
      </c>
      <c r="R76">
        <v>22</v>
      </c>
      <c r="S76">
        <v>103</v>
      </c>
    </row>
    <row r="77" spans="1:19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9">
        <v>46242</v>
      </c>
      <c r="O77">
        <v>28</v>
      </c>
      <c r="P77">
        <v>17</v>
      </c>
      <c r="Q77">
        <v>45</v>
      </c>
      <c r="R77">
        <v>25</v>
      </c>
      <c r="S77">
        <v>115</v>
      </c>
    </row>
    <row r="78" spans="1:19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9">
        <v>46243</v>
      </c>
      <c r="O78">
        <v>35</v>
      </c>
      <c r="P78">
        <v>18</v>
      </c>
      <c r="Q78">
        <v>53</v>
      </c>
      <c r="R78">
        <v>26</v>
      </c>
      <c r="S78">
        <v>132</v>
      </c>
    </row>
    <row r="79" spans="1:19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9">
        <v>46244</v>
      </c>
      <c r="O79">
        <v>27</v>
      </c>
      <c r="P79">
        <v>19</v>
      </c>
      <c r="Q79">
        <v>48</v>
      </c>
      <c r="R79">
        <v>18</v>
      </c>
      <c r="S79">
        <v>112</v>
      </c>
    </row>
    <row r="80" spans="1:19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9">
        <v>46245</v>
      </c>
      <c r="O80">
        <v>32</v>
      </c>
      <c r="P80">
        <v>17</v>
      </c>
      <c r="Q80">
        <v>49</v>
      </c>
      <c r="R80">
        <v>26</v>
      </c>
      <c r="S80">
        <v>124</v>
      </c>
    </row>
    <row r="81" spans="1:19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9">
        <v>46246</v>
      </c>
      <c r="O81">
        <v>30</v>
      </c>
      <c r="P81">
        <v>12</v>
      </c>
      <c r="Q81">
        <v>45</v>
      </c>
      <c r="R81">
        <v>27</v>
      </c>
      <c r="S81">
        <v>114</v>
      </c>
    </row>
    <row r="82" spans="1:19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9" t="s">
        <v>76</v>
      </c>
      <c r="O82">
        <v>368</v>
      </c>
      <c r="P82">
        <v>169</v>
      </c>
      <c r="Q82">
        <v>577</v>
      </c>
      <c r="R82">
        <v>278</v>
      </c>
      <c r="S82">
        <v>1392</v>
      </c>
    </row>
    <row r="83" spans="1:19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</row>
    <row r="84" spans="1:19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</row>
    <row r="85" spans="1:19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</row>
    <row r="86" spans="1:19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</row>
    <row r="87" spans="1:19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</row>
    <row r="88" spans="1:19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t="s">
        <v>94</v>
      </c>
      <c r="O88">
        <f>SUM(tbl_ImportLog[Rows_Imported])</f>
        <v>47</v>
      </c>
    </row>
    <row r="89" spans="1:19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t="s">
        <v>95</v>
      </c>
      <c r="O89">
        <f>SUM(tbl_ImportLog[Rows_Flagged])</f>
        <v>6</v>
      </c>
    </row>
    <row r="90" spans="1:19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t="s">
        <v>96</v>
      </c>
      <c r="O90">
        <f>SUM(tbl_ImportLog[Rows_Duplicate])</f>
        <v>97</v>
      </c>
    </row>
    <row r="91" spans="1:19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</row>
    <row r="92" spans="1:19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</row>
    <row r="93" spans="1:19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</row>
    <row r="94" spans="1:19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</row>
    <row r="95" spans="1:19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1" t="s">
        <v>75</v>
      </c>
      <c r="O95" t="s">
        <v>130</v>
      </c>
    </row>
    <row r="96" spans="1:19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2" t="s">
        <v>67</v>
      </c>
      <c r="O96">
        <v>368</v>
      </c>
    </row>
    <row r="97" spans="1:15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2" t="s">
        <v>63</v>
      </c>
      <c r="O97">
        <v>169</v>
      </c>
    </row>
    <row r="98" spans="1:15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2" t="s">
        <v>53</v>
      </c>
      <c r="O98">
        <v>577</v>
      </c>
    </row>
    <row r="99" spans="1:15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2" t="s">
        <v>71</v>
      </c>
      <c r="O99">
        <v>278</v>
      </c>
    </row>
    <row r="100" spans="1:15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2" t="s">
        <v>76</v>
      </c>
      <c r="O100">
        <v>1392</v>
      </c>
    </row>
  </sheetData>
  <mergeCells count="12">
    <mergeCell ref="A2:M3"/>
    <mergeCell ref="A4:M4"/>
    <mergeCell ref="I14:J17"/>
    <mergeCell ref="C7:D7"/>
    <mergeCell ref="C8:D11"/>
    <mergeCell ref="F7:G7"/>
    <mergeCell ref="F8:G11"/>
    <mergeCell ref="J7:K7"/>
    <mergeCell ref="J8:K11"/>
    <mergeCell ref="E13:F13"/>
    <mergeCell ref="E14:F17"/>
    <mergeCell ref="I13:J13"/>
  </mergeCells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D7E59-EE96-4B3D-A201-0566A5C8098A}">
  <sheetPr codeName="Sheet5">
    <tabColor rgb="FF46648C"/>
  </sheetPr>
  <dimension ref="A1:M48"/>
  <sheetViews>
    <sheetView showGridLines="0" topLeftCell="A2" workbookViewId="0">
      <pane ySplit="1" topLeftCell="A3" activePane="bottomLeft" state="frozen"/>
      <selection activeCell="A2" sqref="A2"/>
      <selection pane="bottomLeft"/>
    </sheetView>
  </sheetViews>
  <sheetFormatPr defaultRowHeight="15" x14ac:dyDescent="0.25"/>
  <cols>
    <col min="1" max="1" width="17.42578125" style="10" bestFit="1" customWidth="1"/>
    <col min="2" max="2" width="18.28515625" style="10" bestFit="1" customWidth="1"/>
    <col min="3" max="3" width="16.7109375" style="10" bestFit="1" customWidth="1"/>
    <col min="4" max="4" width="20" style="10" bestFit="1" customWidth="1"/>
    <col min="5" max="5" width="23.7109375" style="10" bestFit="1" customWidth="1"/>
    <col min="6" max="6" width="24" style="10" bestFit="1" customWidth="1"/>
    <col min="7" max="7" width="21.28515625" style="10" bestFit="1" customWidth="1"/>
    <col min="8" max="8" width="25" style="10" bestFit="1" customWidth="1"/>
    <col min="9" max="9" width="21.5703125" style="10" bestFit="1" customWidth="1"/>
    <col min="10" max="10" width="24.140625" style="10" bestFit="1" customWidth="1"/>
    <col min="11" max="11" width="23.5703125" style="10" bestFit="1" customWidth="1"/>
    <col min="12" max="13" width="22.7109375" style="10" bestFit="1" customWidth="1"/>
    <col min="14" max="14" width="13.140625" style="10" bestFit="1" customWidth="1"/>
    <col min="15" max="15" width="22.28515625" style="10" bestFit="1" customWidth="1"/>
    <col min="16" max="16" width="26" style="10" bestFit="1" customWidth="1"/>
    <col min="17" max="17" width="26.28515625" style="10" bestFit="1" customWidth="1"/>
    <col min="18" max="18" width="23.5703125" style="10" bestFit="1" customWidth="1"/>
    <col min="19" max="19" width="26.42578125" style="10" bestFit="1" customWidth="1"/>
    <col min="20" max="20" width="10.7109375" style="10" bestFit="1" customWidth="1"/>
    <col min="21" max="16384" width="9.140625" style="10"/>
  </cols>
  <sheetData>
    <row r="1" spans="1:13" x14ac:dyDescent="0.25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</row>
    <row r="2" spans="1:13" x14ac:dyDescent="0.25">
      <c r="A2" s="10" t="s">
        <v>67</v>
      </c>
      <c r="B2" s="10" t="s">
        <v>68</v>
      </c>
      <c r="C2" s="11">
        <v>46235</v>
      </c>
      <c r="D2" s="15">
        <v>33</v>
      </c>
      <c r="E2" s="15">
        <v>26</v>
      </c>
      <c r="F2" s="15">
        <v>6</v>
      </c>
      <c r="G2" s="15">
        <v>1</v>
      </c>
      <c r="H2" s="15">
        <v>37.9</v>
      </c>
      <c r="I2" s="15">
        <v>88202</v>
      </c>
      <c r="J2" s="15">
        <v>3507</v>
      </c>
      <c r="K2" s="10" t="s">
        <v>69</v>
      </c>
      <c r="L2" s="10" t="s">
        <v>92</v>
      </c>
      <c r="M2" s="13">
        <v>46284.988402777781</v>
      </c>
    </row>
    <row r="3" spans="1:13" x14ac:dyDescent="0.25">
      <c r="A3" s="10" t="s">
        <v>67</v>
      </c>
      <c r="B3" s="10" t="s">
        <v>68</v>
      </c>
      <c r="C3" s="11">
        <v>46236</v>
      </c>
      <c r="D3" s="15">
        <v>29</v>
      </c>
      <c r="E3" s="15">
        <v>22</v>
      </c>
      <c r="F3" s="15">
        <v>7</v>
      </c>
      <c r="G3" s="15">
        <v>0</v>
      </c>
      <c r="H3" s="15">
        <v>30.3</v>
      </c>
      <c r="I3" s="15">
        <v>68344</v>
      </c>
      <c r="J3" s="15">
        <v>3025</v>
      </c>
      <c r="K3" s="10" t="s">
        <v>69</v>
      </c>
      <c r="L3" s="10" t="s">
        <v>92</v>
      </c>
      <c r="M3" s="13">
        <v>46284.988402777781</v>
      </c>
    </row>
    <row r="4" spans="1:13" x14ac:dyDescent="0.25">
      <c r="A4" s="10" t="s">
        <v>67</v>
      </c>
      <c r="B4" s="10" t="s">
        <v>68</v>
      </c>
      <c r="C4" s="11">
        <v>46237</v>
      </c>
      <c r="D4" s="15">
        <v>32</v>
      </c>
      <c r="E4" s="15">
        <v>24</v>
      </c>
      <c r="F4" s="15">
        <v>8</v>
      </c>
      <c r="G4" s="15">
        <v>0</v>
      </c>
      <c r="H4" s="15">
        <v>30.1</v>
      </c>
      <c r="I4" s="15">
        <v>90570</v>
      </c>
      <c r="J4" s="15">
        <v>3443</v>
      </c>
      <c r="K4" s="10" t="s">
        <v>69</v>
      </c>
      <c r="L4" s="10" t="s">
        <v>92</v>
      </c>
      <c r="M4" s="13">
        <v>46284.988402777781</v>
      </c>
    </row>
    <row r="5" spans="1:13" x14ac:dyDescent="0.25">
      <c r="A5" s="10" t="s">
        <v>67</v>
      </c>
      <c r="B5" s="10" t="s">
        <v>68</v>
      </c>
      <c r="C5" s="11">
        <v>46238</v>
      </c>
      <c r="D5" s="15">
        <v>31</v>
      </c>
      <c r="E5" s="15">
        <v>23</v>
      </c>
      <c r="F5" s="15">
        <v>6</v>
      </c>
      <c r="G5" s="15">
        <v>2</v>
      </c>
      <c r="H5" s="15">
        <v>33</v>
      </c>
      <c r="I5" s="15">
        <v>86801</v>
      </c>
      <c r="J5" s="15">
        <v>3319</v>
      </c>
      <c r="K5" s="10" t="s">
        <v>69</v>
      </c>
      <c r="L5" s="10" t="s">
        <v>92</v>
      </c>
      <c r="M5" s="13">
        <v>46284.988402777781</v>
      </c>
    </row>
    <row r="6" spans="1:13" x14ac:dyDescent="0.25">
      <c r="A6" s="10" t="s">
        <v>67</v>
      </c>
      <c r="B6" s="10" t="s">
        <v>68</v>
      </c>
      <c r="C6" s="11">
        <v>46239</v>
      </c>
      <c r="D6" s="15">
        <v>33</v>
      </c>
      <c r="E6" s="15">
        <v>24</v>
      </c>
      <c r="F6" s="15">
        <v>8</v>
      </c>
      <c r="G6" s="15">
        <v>1</v>
      </c>
      <c r="H6" s="15">
        <v>29.4</v>
      </c>
      <c r="I6" s="15">
        <v>90004</v>
      </c>
      <c r="J6" s="15">
        <v>3502</v>
      </c>
      <c r="K6" s="10" t="s">
        <v>69</v>
      </c>
      <c r="L6" s="10" t="s">
        <v>92</v>
      </c>
      <c r="M6" s="13">
        <v>46284.988402777781</v>
      </c>
    </row>
    <row r="7" spans="1:13" x14ac:dyDescent="0.25">
      <c r="A7" s="10" t="s">
        <v>67</v>
      </c>
      <c r="B7" s="10" t="s">
        <v>68</v>
      </c>
      <c r="C7" s="11">
        <v>46240</v>
      </c>
      <c r="D7" s="15">
        <v>30</v>
      </c>
      <c r="E7" s="15">
        <v>25</v>
      </c>
      <c r="F7" s="15">
        <v>4</v>
      </c>
      <c r="G7" s="15">
        <v>1</v>
      </c>
      <c r="H7" s="15">
        <v>37</v>
      </c>
      <c r="I7" s="15">
        <v>76431</v>
      </c>
      <c r="J7" s="15">
        <v>3106</v>
      </c>
      <c r="K7" s="10" t="s">
        <v>69</v>
      </c>
      <c r="L7" s="10" t="s">
        <v>92</v>
      </c>
      <c r="M7" s="13">
        <v>46284.988402777781</v>
      </c>
    </row>
    <row r="8" spans="1:13" x14ac:dyDescent="0.25">
      <c r="A8" s="10" t="s">
        <v>67</v>
      </c>
      <c r="B8" s="10" t="s">
        <v>68</v>
      </c>
      <c r="C8" s="11">
        <v>46241</v>
      </c>
      <c r="D8" s="15">
        <v>28</v>
      </c>
      <c r="E8" s="15">
        <v>23</v>
      </c>
      <c r="F8" s="15">
        <v>4</v>
      </c>
      <c r="G8" s="15">
        <v>1</v>
      </c>
      <c r="H8" s="15">
        <v>28.9</v>
      </c>
      <c r="I8" s="15">
        <v>66206</v>
      </c>
      <c r="J8" s="15">
        <v>2868</v>
      </c>
      <c r="K8" s="10" t="s">
        <v>69</v>
      </c>
      <c r="L8" s="10" t="s">
        <v>92</v>
      </c>
      <c r="M8" s="13">
        <v>46284.988402777781</v>
      </c>
    </row>
    <row r="9" spans="1:13" x14ac:dyDescent="0.25">
      <c r="A9" s="10" t="s">
        <v>67</v>
      </c>
      <c r="B9" s="10" t="s">
        <v>68</v>
      </c>
      <c r="C9" s="11">
        <v>46242</v>
      </c>
      <c r="D9" s="15">
        <v>28</v>
      </c>
      <c r="E9" s="15">
        <v>20</v>
      </c>
      <c r="F9" s="15">
        <v>6</v>
      </c>
      <c r="G9" s="15">
        <v>2</v>
      </c>
      <c r="H9" s="15">
        <v>32.200000000000003</v>
      </c>
      <c r="I9" s="15">
        <v>66445</v>
      </c>
      <c r="J9" s="15">
        <v>2937</v>
      </c>
      <c r="K9" s="10" t="s">
        <v>69</v>
      </c>
      <c r="L9" s="10" t="s">
        <v>92</v>
      </c>
      <c r="M9" s="13">
        <v>46284.988402777781</v>
      </c>
    </row>
    <row r="10" spans="1:13" x14ac:dyDescent="0.25">
      <c r="A10" s="10" t="s">
        <v>67</v>
      </c>
      <c r="B10" s="10" t="s">
        <v>68</v>
      </c>
      <c r="C10" s="11">
        <v>46243</v>
      </c>
      <c r="D10" s="15">
        <v>35</v>
      </c>
      <c r="E10" s="15">
        <v>28</v>
      </c>
      <c r="F10" s="15">
        <v>5</v>
      </c>
      <c r="G10" s="15">
        <v>2</v>
      </c>
      <c r="H10" s="15">
        <v>30.5</v>
      </c>
      <c r="I10" s="15">
        <v>91969</v>
      </c>
      <c r="J10" s="15">
        <v>3577</v>
      </c>
      <c r="K10" s="10" t="s">
        <v>69</v>
      </c>
      <c r="L10" s="10" t="s">
        <v>92</v>
      </c>
      <c r="M10" s="13">
        <v>46284.988402777781</v>
      </c>
    </row>
    <row r="11" spans="1:13" x14ac:dyDescent="0.25">
      <c r="A11" s="10" t="s">
        <v>67</v>
      </c>
      <c r="B11" s="10" t="s">
        <v>68</v>
      </c>
      <c r="C11" s="11">
        <v>46244</v>
      </c>
      <c r="D11" s="15">
        <v>27</v>
      </c>
      <c r="E11" s="15">
        <v>23</v>
      </c>
      <c r="F11" s="15">
        <v>3</v>
      </c>
      <c r="G11" s="15">
        <v>1</v>
      </c>
      <c r="H11" s="15">
        <v>35.700000000000003</v>
      </c>
      <c r="I11" s="15">
        <v>67956</v>
      </c>
      <c r="J11" s="15">
        <v>2810</v>
      </c>
      <c r="K11" s="10" t="s">
        <v>69</v>
      </c>
      <c r="L11" s="10" t="s">
        <v>92</v>
      </c>
      <c r="M11" s="13">
        <v>46284.988402777781</v>
      </c>
    </row>
    <row r="12" spans="1:13" x14ac:dyDescent="0.25">
      <c r="A12" s="10" t="s">
        <v>67</v>
      </c>
      <c r="B12" s="10" t="s">
        <v>68</v>
      </c>
      <c r="C12" s="11">
        <v>46245</v>
      </c>
      <c r="D12" s="15">
        <v>32</v>
      </c>
      <c r="E12" s="15">
        <v>23</v>
      </c>
      <c r="F12" s="15">
        <v>8</v>
      </c>
      <c r="G12" s="15">
        <v>1</v>
      </c>
      <c r="H12" s="15">
        <v>28</v>
      </c>
      <c r="I12" s="15">
        <v>86896</v>
      </c>
      <c r="J12" s="15">
        <v>3444</v>
      </c>
      <c r="K12" s="10" t="s">
        <v>69</v>
      </c>
      <c r="L12" s="10" t="s">
        <v>92</v>
      </c>
      <c r="M12" s="13">
        <v>46284.988402777781</v>
      </c>
    </row>
    <row r="13" spans="1:13" x14ac:dyDescent="0.25">
      <c r="A13" s="10" t="s">
        <v>67</v>
      </c>
      <c r="B13" s="10" t="s">
        <v>68</v>
      </c>
      <c r="C13" s="11">
        <v>46246</v>
      </c>
      <c r="D13" s="15">
        <v>30</v>
      </c>
      <c r="E13" s="15">
        <v>25</v>
      </c>
      <c r="F13" s="15">
        <v>5</v>
      </c>
      <c r="G13" s="15">
        <v>0</v>
      </c>
      <c r="H13" s="15">
        <v>33.1</v>
      </c>
      <c r="I13" s="15">
        <v>71860</v>
      </c>
      <c r="J13" s="15">
        <v>3210</v>
      </c>
      <c r="K13" s="10" t="s">
        <v>69</v>
      </c>
      <c r="L13" s="10" t="s">
        <v>92</v>
      </c>
      <c r="M13" s="13">
        <v>46284.988402777781</v>
      </c>
    </row>
    <row r="14" spans="1:13" x14ac:dyDescent="0.25">
      <c r="A14" s="10" t="s">
        <v>63</v>
      </c>
      <c r="B14" s="10" t="s">
        <v>64</v>
      </c>
      <c r="C14" s="11">
        <v>46235</v>
      </c>
      <c r="D14" s="15">
        <v>13</v>
      </c>
      <c r="E14" s="15">
        <v>7</v>
      </c>
      <c r="F14" s="15">
        <v>6</v>
      </c>
      <c r="G14" s="15">
        <v>0</v>
      </c>
      <c r="H14" s="15">
        <v>30.6</v>
      </c>
      <c r="I14" s="15"/>
      <c r="J14" s="15">
        <v>1175</v>
      </c>
      <c r="K14" s="10" t="s">
        <v>58</v>
      </c>
      <c r="L14" s="10" t="s">
        <v>92</v>
      </c>
      <c r="M14" s="13">
        <v>46284.988402777781</v>
      </c>
    </row>
    <row r="15" spans="1:13" x14ac:dyDescent="0.25">
      <c r="A15" s="10" t="s">
        <v>63</v>
      </c>
      <c r="B15" s="10" t="s">
        <v>64</v>
      </c>
      <c r="C15" s="11">
        <v>46236</v>
      </c>
      <c r="D15" s="15">
        <v>17</v>
      </c>
      <c r="E15" s="15">
        <v>9</v>
      </c>
      <c r="F15" s="15">
        <v>6</v>
      </c>
      <c r="G15" s="15">
        <v>2</v>
      </c>
      <c r="H15" s="15">
        <v>30.5</v>
      </c>
      <c r="I15" s="15"/>
      <c r="J15" s="15">
        <v>1445</v>
      </c>
      <c r="K15" s="10" t="s">
        <v>58</v>
      </c>
      <c r="L15" s="10" t="s">
        <v>92</v>
      </c>
      <c r="M15" s="13">
        <v>46284.988402777781</v>
      </c>
    </row>
    <row r="16" spans="1:13" x14ac:dyDescent="0.25">
      <c r="A16" s="10" t="s">
        <v>63</v>
      </c>
      <c r="B16" s="10" t="s">
        <v>64</v>
      </c>
      <c r="C16" s="11">
        <v>46237</v>
      </c>
      <c r="D16" s="15">
        <v>16</v>
      </c>
      <c r="E16" s="15">
        <v>11</v>
      </c>
      <c r="F16" s="15">
        <v>5</v>
      </c>
      <c r="G16" s="15">
        <v>0</v>
      </c>
      <c r="H16" s="15">
        <v>26.5</v>
      </c>
      <c r="I16" s="15"/>
      <c r="J16" s="15">
        <v>1454</v>
      </c>
      <c r="K16" s="10" t="s">
        <v>58</v>
      </c>
      <c r="L16" s="10" t="s">
        <v>92</v>
      </c>
      <c r="M16" s="13">
        <v>46284.988402777781</v>
      </c>
    </row>
    <row r="17" spans="1:13" x14ac:dyDescent="0.25">
      <c r="A17" s="10" t="s">
        <v>63</v>
      </c>
      <c r="B17" s="10" t="s">
        <v>64</v>
      </c>
      <c r="C17" s="11">
        <v>46238</v>
      </c>
      <c r="D17" s="15">
        <v>12</v>
      </c>
      <c r="E17" s="15">
        <v>9</v>
      </c>
      <c r="F17" s="15">
        <v>3</v>
      </c>
      <c r="G17" s="15">
        <v>0</v>
      </c>
      <c r="H17" s="15">
        <v>26.8</v>
      </c>
      <c r="I17" s="15"/>
      <c r="J17" s="15">
        <v>999</v>
      </c>
      <c r="K17" s="10" t="s">
        <v>58</v>
      </c>
      <c r="L17" s="10" t="s">
        <v>92</v>
      </c>
      <c r="M17" s="13">
        <v>46284.988402777781</v>
      </c>
    </row>
    <row r="18" spans="1:13" x14ac:dyDescent="0.25">
      <c r="A18" s="10" t="s">
        <v>63</v>
      </c>
      <c r="B18" s="10" t="s">
        <v>64</v>
      </c>
      <c r="C18" s="11">
        <v>46239</v>
      </c>
      <c r="D18" s="15">
        <v>17</v>
      </c>
      <c r="E18" s="15">
        <v>13</v>
      </c>
      <c r="F18" s="15">
        <v>4</v>
      </c>
      <c r="G18" s="15">
        <v>0</v>
      </c>
      <c r="H18" s="15">
        <v>24.5</v>
      </c>
      <c r="I18" s="15"/>
      <c r="J18" s="15">
        <v>1433</v>
      </c>
      <c r="K18" s="10" t="s">
        <v>58</v>
      </c>
      <c r="L18" s="10" t="s">
        <v>92</v>
      </c>
      <c r="M18" s="13">
        <v>46284.988402777781</v>
      </c>
    </row>
    <row r="19" spans="1:13" x14ac:dyDescent="0.25">
      <c r="A19" s="10" t="s">
        <v>63</v>
      </c>
      <c r="B19" s="10" t="s">
        <v>64</v>
      </c>
      <c r="C19" s="11">
        <v>46240</v>
      </c>
      <c r="D19" s="15">
        <v>11</v>
      </c>
      <c r="E19" s="15">
        <v>6</v>
      </c>
      <c r="F19" s="15">
        <v>5</v>
      </c>
      <c r="G19" s="15">
        <v>0</v>
      </c>
      <c r="H19" s="15">
        <v>28.1</v>
      </c>
      <c r="I19" s="15"/>
      <c r="J19" s="15">
        <v>992</v>
      </c>
      <c r="K19" s="10" t="s">
        <v>58</v>
      </c>
      <c r="L19" s="10" t="s">
        <v>92</v>
      </c>
      <c r="M19" s="13">
        <v>46284.988402777781</v>
      </c>
    </row>
    <row r="20" spans="1:13" x14ac:dyDescent="0.25">
      <c r="A20" s="10" t="s">
        <v>63</v>
      </c>
      <c r="B20" s="10" t="s">
        <v>64</v>
      </c>
      <c r="C20" s="11">
        <v>46242</v>
      </c>
      <c r="D20" s="15">
        <v>17</v>
      </c>
      <c r="E20" s="15">
        <v>11</v>
      </c>
      <c r="F20" s="15">
        <v>5</v>
      </c>
      <c r="G20" s="15">
        <v>1</v>
      </c>
      <c r="H20" s="15">
        <v>31</v>
      </c>
      <c r="I20" s="15"/>
      <c r="J20" s="15">
        <v>1630</v>
      </c>
      <c r="K20" s="10" t="s">
        <v>58</v>
      </c>
      <c r="L20" s="10" t="s">
        <v>92</v>
      </c>
      <c r="M20" s="13">
        <v>46284.988402777781</v>
      </c>
    </row>
    <row r="21" spans="1:13" x14ac:dyDescent="0.25">
      <c r="A21" s="10" t="s">
        <v>63</v>
      </c>
      <c r="B21" s="10" t="s">
        <v>64</v>
      </c>
      <c r="C21" s="11">
        <v>46243</v>
      </c>
      <c r="D21" s="15">
        <v>18</v>
      </c>
      <c r="E21" s="15">
        <v>13</v>
      </c>
      <c r="F21" s="15">
        <v>5</v>
      </c>
      <c r="G21" s="15">
        <v>0</v>
      </c>
      <c r="H21" s="15">
        <v>25.9</v>
      </c>
      <c r="I21" s="15"/>
      <c r="J21" s="15">
        <v>1534</v>
      </c>
      <c r="K21" s="10" t="s">
        <v>58</v>
      </c>
      <c r="L21" s="10" t="s">
        <v>92</v>
      </c>
      <c r="M21" s="13">
        <v>46284.988402777781</v>
      </c>
    </row>
    <row r="22" spans="1:13" x14ac:dyDescent="0.25">
      <c r="A22" s="10" t="s">
        <v>63</v>
      </c>
      <c r="B22" s="10" t="s">
        <v>64</v>
      </c>
      <c r="C22" s="11">
        <v>46244</v>
      </c>
      <c r="D22" s="15">
        <v>19</v>
      </c>
      <c r="E22" s="15">
        <v>15</v>
      </c>
      <c r="F22" s="15">
        <v>4</v>
      </c>
      <c r="G22" s="15">
        <v>0</v>
      </c>
      <c r="H22" s="15">
        <v>31.5</v>
      </c>
      <c r="I22" s="15"/>
      <c r="J22" s="15">
        <v>1759</v>
      </c>
      <c r="K22" s="10" t="s">
        <v>58</v>
      </c>
      <c r="L22" s="10" t="s">
        <v>92</v>
      </c>
      <c r="M22" s="13">
        <v>46284.988402777781</v>
      </c>
    </row>
    <row r="23" spans="1:13" x14ac:dyDescent="0.25">
      <c r="A23" s="10" t="s">
        <v>63</v>
      </c>
      <c r="B23" s="10" t="s">
        <v>64</v>
      </c>
      <c r="C23" s="11">
        <v>46245</v>
      </c>
      <c r="D23" s="15">
        <v>17</v>
      </c>
      <c r="E23" s="15">
        <v>13</v>
      </c>
      <c r="F23" s="15">
        <v>2</v>
      </c>
      <c r="G23" s="15">
        <v>2</v>
      </c>
      <c r="H23" s="15">
        <v>25.6</v>
      </c>
      <c r="I23" s="15"/>
      <c r="J23" s="15">
        <v>1450</v>
      </c>
      <c r="K23" s="10" t="s">
        <v>58</v>
      </c>
      <c r="L23" s="10" t="s">
        <v>92</v>
      </c>
      <c r="M23" s="13">
        <v>46284.988402777781</v>
      </c>
    </row>
    <row r="24" spans="1:13" x14ac:dyDescent="0.25">
      <c r="A24" s="10" t="s">
        <v>63</v>
      </c>
      <c r="B24" s="10" t="s">
        <v>64</v>
      </c>
      <c r="C24" s="11">
        <v>46246</v>
      </c>
      <c r="D24" s="15">
        <v>12</v>
      </c>
      <c r="E24" s="15">
        <v>6</v>
      </c>
      <c r="F24" s="15">
        <v>4</v>
      </c>
      <c r="G24" s="15">
        <v>2</v>
      </c>
      <c r="H24" s="15">
        <v>24.7</v>
      </c>
      <c r="I24" s="15"/>
      <c r="J24" s="15">
        <v>1083</v>
      </c>
      <c r="K24" s="10" t="s">
        <v>58</v>
      </c>
      <c r="L24" s="10" t="s">
        <v>92</v>
      </c>
      <c r="M24" s="13">
        <v>46284.988402777781</v>
      </c>
    </row>
    <row r="25" spans="1:13" x14ac:dyDescent="0.25">
      <c r="A25" s="10" t="s">
        <v>53</v>
      </c>
      <c r="B25" s="10" t="s">
        <v>54</v>
      </c>
      <c r="C25" s="11">
        <v>46235</v>
      </c>
      <c r="D25" s="15">
        <v>45</v>
      </c>
      <c r="E25" s="15">
        <v>34</v>
      </c>
      <c r="F25" s="15">
        <v>9</v>
      </c>
      <c r="G25" s="15">
        <v>2</v>
      </c>
      <c r="H25" s="15">
        <v>35.799999999999997</v>
      </c>
      <c r="I25" s="15">
        <v>123276</v>
      </c>
      <c r="J25" s="15">
        <v>5398</v>
      </c>
      <c r="K25" s="10" t="s">
        <v>55</v>
      </c>
      <c r="L25" s="10" t="s">
        <v>92</v>
      </c>
      <c r="M25" s="13">
        <v>46284.98841435185</v>
      </c>
    </row>
    <row r="26" spans="1:13" x14ac:dyDescent="0.25">
      <c r="A26" s="10" t="s">
        <v>53</v>
      </c>
      <c r="B26" s="10" t="s">
        <v>54</v>
      </c>
      <c r="C26" s="11">
        <v>46236</v>
      </c>
      <c r="D26" s="15">
        <v>45</v>
      </c>
      <c r="E26" s="15">
        <v>38</v>
      </c>
      <c r="F26" s="15">
        <v>7</v>
      </c>
      <c r="G26" s="15">
        <v>0</v>
      </c>
      <c r="H26" s="15">
        <v>38.9</v>
      </c>
      <c r="I26" s="15">
        <v>118280</v>
      </c>
      <c r="J26" s="15">
        <v>5233</v>
      </c>
      <c r="K26" s="10" t="s">
        <v>55</v>
      </c>
      <c r="L26" s="10" t="s">
        <v>92</v>
      </c>
      <c r="M26" s="13">
        <v>46284.98841435185</v>
      </c>
    </row>
    <row r="27" spans="1:13" x14ac:dyDescent="0.25">
      <c r="A27" s="10" t="s">
        <v>53</v>
      </c>
      <c r="B27" s="10" t="s">
        <v>54</v>
      </c>
      <c r="C27" s="11">
        <v>46237</v>
      </c>
      <c r="D27" s="15">
        <v>47</v>
      </c>
      <c r="E27" s="15">
        <v>37</v>
      </c>
      <c r="F27" s="15">
        <v>8</v>
      </c>
      <c r="G27" s="15">
        <v>2</v>
      </c>
      <c r="H27" s="15">
        <v>39</v>
      </c>
      <c r="I27" s="15">
        <v>137970</v>
      </c>
      <c r="J27" s="15">
        <v>5629</v>
      </c>
      <c r="K27" s="10" t="s">
        <v>55</v>
      </c>
      <c r="L27" s="10" t="s">
        <v>92</v>
      </c>
      <c r="M27" s="13">
        <v>46284.98841435185</v>
      </c>
    </row>
    <row r="28" spans="1:13" x14ac:dyDescent="0.25">
      <c r="A28" s="10" t="s">
        <v>53</v>
      </c>
      <c r="B28" s="10" t="s">
        <v>54</v>
      </c>
      <c r="C28" s="11">
        <v>46238</v>
      </c>
      <c r="D28" s="15">
        <v>52</v>
      </c>
      <c r="E28" s="15">
        <v>43</v>
      </c>
      <c r="F28" s="15">
        <v>9</v>
      </c>
      <c r="G28" s="15">
        <v>0</v>
      </c>
      <c r="H28" s="15">
        <v>37.5</v>
      </c>
      <c r="I28" s="15">
        <v>144110</v>
      </c>
      <c r="J28" s="15">
        <v>6037</v>
      </c>
      <c r="K28" s="10" t="s">
        <v>55</v>
      </c>
      <c r="L28" s="10" t="s">
        <v>92</v>
      </c>
      <c r="M28" s="13">
        <v>46284.98841435185</v>
      </c>
    </row>
    <row r="29" spans="1:13" x14ac:dyDescent="0.25">
      <c r="A29" s="10" t="s">
        <v>53</v>
      </c>
      <c r="B29" s="10" t="s">
        <v>54</v>
      </c>
      <c r="C29" s="11">
        <v>46239</v>
      </c>
      <c r="D29" s="15">
        <v>46</v>
      </c>
      <c r="E29" s="15">
        <v>38</v>
      </c>
      <c r="F29" s="15">
        <v>7</v>
      </c>
      <c r="G29" s="15">
        <v>1</v>
      </c>
      <c r="H29" s="15">
        <v>35.799999999999997</v>
      </c>
      <c r="I29" s="15">
        <v>125805</v>
      </c>
      <c r="J29" s="15">
        <v>5523</v>
      </c>
      <c r="K29" s="10" t="s">
        <v>55</v>
      </c>
      <c r="L29" s="10" t="s">
        <v>92</v>
      </c>
      <c r="M29" s="13">
        <v>46284.98841435185</v>
      </c>
    </row>
    <row r="30" spans="1:13" x14ac:dyDescent="0.25">
      <c r="A30" s="10" t="s">
        <v>53</v>
      </c>
      <c r="B30" s="10" t="s">
        <v>54</v>
      </c>
      <c r="C30" s="11">
        <v>46240</v>
      </c>
      <c r="D30" s="15">
        <v>49</v>
      </c>
      <c r="E30" s="15">
        <v>38</v>
      </c>
      <c r="F30" s="15">
        <v>11</v>
      </c>
      <c r="G30" s="15">
        <v>0</v>
      </c>
      <c r="H30" s="15">
        <v>36.799999999999997</v>
      </c>
      <c r="I30" s="15">
        <v>138092</v>
      </c>
      <c r="J30" s="15">
        <v>5770</v>
      </c>
      <c r="K30" s="10" t="s">
        <v>55</v>
      </c>
      <c r="L30" s="10" t="s">
        <v>92</v>
      </c>
      <c r="M30" s="13">
        <v>46284.98841435185</v>
      </c>
    </row>
    <row r="31" spans="1:13" x14ac:dyDescent="0.25">
      <c r="A31" s="10" t="s">
        <v>53</v>
      </c>
      <c r="B31" s="10" t="s">
        <v>54</v>
      </c>
      <c r="C31" s="11">
        <v>46241</v>
      </c>
      <c r="D31" s="15">
        <v>53</v>
      </c>
      <c r="E31" s="15">
        <v>43</v>
      </c>
      <c r="F31" s="15">
        <v>10</v>
      </c>
      <c r="G31" s="15">
        <v>0</v>
      </c>
      <c r="H31" s="15">
        <v>40.299999999999997</v>
      </c>
      <c r="I31" s="15">
        <v>154814</v>
      </c>
      <c r="J31" s="15">
        <v>6250</v>
      </c>
      <c r="K31" s="10" t="s">
        <v>55</v>
      </c>
      <c r="L31" s="10" t="s">
        <v>92</v>
      </c>
      <c r="M31" s="13">
        <v>46284.98841435185</v>
      </c>
    </row>
    <row r="32" spans="1:13" x14ac:dyDescent="0.25">
      <c r="A32" s="10" t="s">
        <v>53</v>
      </c>
      <c r="B32" s="10" t="s">
        <v>54</v>
      </c>
      <c r="C32" s="11">
        <v>46242</v>
      </c>
      <c r="D32" s="15">
        <v>45</v>
      </c>
      <c r="E32" s="15">
        <v>38</v>
      </c>
      <c r="F32" s="15">
        <v>6</v>
      </c>
      <c r="G32" s="15">
        <v>1</v>
      </c>
      <c r="H32" s="15">
        <v>41.3</v>
      </c>
      <c r="I32" s="15">
        <v>133593</v>
      </c>
      <c r="J32" s="15">
        <v>5302</v>
      </c>
      <c r="K32" s="10" t="s">
        <v>55</v>
      </c>
      <c r="L32" s="10" t="s">
        <v>92</v>
      </c>
      <c r="M32" s="13">
        <v>46284.98841435185</v>
      </c>
    </row>
    <row r="33" spans="1:13" x14ac:dyDescent="0.25">
      <c r="A33" s="10" t="s">
        <v>53</v>
      </c>
      <c r="B33" s="10" t="s">
        <v>54</v>
      </c>
      <c r="C33" s="11">
        <v>46243</v>
      </c>
      <c r="D33" s="15">
        <v>53</v>
      </c>
      <c r="E33" s="15">
        <v>42</v>
      </c>
      <c r="F33" s="15">
        <v>9</v>
      </c>
      <c r="G33" s="15">
        <v>2</v>
      </c>
      <c r="H33" s="15">
        <v>33.700000000000003</v>
      </c>
      <c r="I33" s="15">
        <v>158657</v>
      </c>
      <c r="J33" s="15">
        <v>6351</v>
      </c>
      <c r="K33" s="10" t="s">
        <v>55</v>
      </c>
      <c r="L33" s="10" t="s">
        <v>92</v>
      </c>
      <c r="M33" s="13">
        <v>46284.98841435185</v>
      </c>
    </row>
    <row r="34" spans="1:13" x14ac:dyDescent="0.25">
      <c r="A34" s="10" t="s">
        <v>53</v>
      </c>
      <c r="B34" s="10" t="s">
        <v>54</v>
      </c>
      <c r="C34" s="11">
        <v>46244</v>
      </c>
      <c r="D34" s="15">
        <v>48</v>
      </c>
      <c r="E34" s="15">
        <v>37</v>
      </c>
      <c r="F34" s="15">
        <v>11</v>
      </c>
      <c r="G34" s="15">
        <v>0</v>
      </c>
      <c r="H34" s="15">
        <v>41.7</v>
      </c>
      <c r="I34" s="15">
        <v>135863</v>
      </c>
      <c r="J34" s="15">
        <v>5680</v>
      </c>
      <c r="K34" s="10" t="s">
        <v>55</v>
      </c>
      <c r="L34" s="10" t="s">
        <v>92</v>
      </c>
      <c r="M34" s="13">
        <v>46284.98841435185</v>
      </c>
    </row>
    <row r="35" spans="1:13" x14ac:dyDescent="0.25">
      <c r="A35" s="10" t="s">
        <v>53</v>
      </c>
      <c r="B35" s="10" t="s">
        <v>54</v>
      </c>
      <c r="C35" s="11">
        <v>46245</v>
      </c>
      <c r="D35" s="15">
        <v>49</v>
      </c>
      <c r="E35" s="15">
        <v>39</v>
      </c>
      <c r="F35" s="15">
        <v>9</v>
      </c>
      <c r="G35" s="15">
        <v>1</v>
      </c>
      <c r="H35" s="15">
        <v>36.6</v>
      </c>
      <c r="I35" s="15">
        <v>146936</v>
      </c>
      <c r="J35" s="15">
        <v>5861</v>
      </c>
      <c r="K35" s="10" t="s">
        <v>55</v>
      </c>
      <c r="L35" s="10" t="s">
        <v>92</v>
      </c>
      <c r="M35" s="13">
        <v>46284.98841435185</v>
      </c>
    </row>
    <row r="36" spans="1:13" x14ac:dyDescent="0.25">
      <c r="A36" s="10" t="s">
        <v>53</v>
      </c>
      <c r="B36" s="10" t="s">
        <v>54</v>
      </c>
      <c r="C36" s="11">
        <v>46246</v>
      </c>
      <c r="D36" s="15">
        <v>45</v>
      </c>
      <c r="E36" s="15">
        <v>38</v>
      </c>
      <c r="F36" s="15">
        <v>5</v>
      </c>
      <c r="G36" s="15">
        <v>2</v>
      </c>
      <c r="H36" s="15">
        <v>34.700000000000003</v>
      </c>
      <c r="I36" s="15">
        <v>136480</v>
      </c>
      <c r="J36" s="15">
        <v>5251</v>
      </c>
      <c r="K36" s="10" t="s">
        <v>55</v>
      </c>
      <c r="L36" s="10" t="s">
        <v>92</v>
      </c>
      <c r="M36" s="13">
        <v>46284.98841435185</v>
      </c>
    </row>
    <row r="37" spans="1:13" x14ac:dyDescent="0.25">
      <c r="A37" s="10" t="s">
        <v>71</v>
      </c>
      <c r="B37" s="10" t="s">
        <v>72</v>
      </c>
      <c r="C37" s="11">
        <v>46235</v>
      </c>
      <c r="D37" s="15">
        <v>22</v>
      </c>
      <c r="E37" s="15">
        <v>18</v>
      </c>
      <c r="F37" s="15">
        <v>2</v>
      </c>
      <c r="G37" s="15">
        <v>2</v>
      </c>
      <c r="H37" s="15">
        <v>28</v>
      </c>
      <c r="I37" s="15">
        <v>49324</v>
      </c>
      <c r="J37" s="15">
        <v>2031</v>
      </c>
      <c r="K37" s="10" t="s">
        <v>73</v>
      </c>
      <c r="L37" s="10" t="s">
        <v>92</v>
      </c>
      <c r="M37" s="13">
        <v>46284.98841435185</v>
      </c>
    </row>
    <row r="38" spans="1:13" x14ac:dyDescent="0.25">
      <c r="A38" s="10" t="s">
        <v>71</v>
      </c>
      <c r="B38" s="10" t="s">
        <v>72</v>
      </c>
      <c r="C38" s="11">
        <v>46236</v>
      </c>
      <c r="D38" s="15">
        <v>26</v>
      </c>
      <c r="E38" s="15">
        <v>21</v>
      </c>
      <c r="F38" s="15">
        <v>5</v>
      </c>
      <c r="G38" s="15">
        <v>0</v>
      </c>
      <c r="H38" s="15">
        <v>32</v>
      </c>
      <c r="I38" s="15">
        <v>59664</v>
      </c>
      <c r="J38" s="15">
        <v>2398</v>
      </c>
      <c r="K38" s="10" t="s">
        <v>73</v>
      </c>
      <c r="L38" s="10" t="s">
        <v>92</v>
      </c>
      <c r="M38" s="13">
        <v>46284.98841435185</v>
      </c>
    </row>
    <row r="39" spans="1:13" x14ac:dyDescent="0.25">
      <c r="A39" s="10" t="s">
        <v>71</v>
      </c>
      <c r="B39" s="10" t="s">
        <v>72</v>
      </c>
      <c r="C39" s="11">
        <v>46237</v>
      </c>
      <c r="D39" s="15">
        <v>23</v>
      </c>
      <c r="E39" s="15">
        <v>17</v>
      </c>
      <c r="F39" s="15">
        <v>6</v>
      </c>
      <c r="G39" s="15">
        <v>0</v>
      </c>
      <c r="H39" s="15">
        <v>26.6</v>
      </c>
      <c r="I39" s="15">
        <v>56899</v>
      </c>
      <c r="J39" s="15">
        <v>2105</v>
      </c>
      <c r="K39" s="10" t="s">
        <v>73</v>
      </c>
      <c r="L39" s="10" t="s">
        <v>92</v>
      </c>
      <c r="M39" s="13">
        <v>46284.98841435185</v>
      </c>
    </row>
    <row r="40" spans="1:13" x14ac:dyDescent="0.25">
      <c r="A40" s="10" t="s">
        <v>71</v>
      </c>
      <c r="B40" s="10" t="s">
        <v>72</v>
      </c>
      <c r="C40" s="11">
        <v>46238</v>
      </c>
      <c r="D40" s="15">
        <v>19</v>
      </c>
      <c r="E40" s="15">
        <v>15</v>
      </c>
      <c r="F40" s="15">
        <v>4</v>
      </c>
      <c r="G40" s="15">
        <v>0</v>
      </c>
      <c r="H40" s="15">
        <v>35.799999999999997</v>
      </c>
      <c r="I40" s="15">
        <v>43986</v>
      </c>
      <c r="J40" s="15">
        <v>1737</v>
      </c>
      <c r="K40" s="10" t="s">
        <v>73</v>
      </c>
      <c r="L40" s="10" t="s">
        <v>92</v>
      </c>
      <c r="M40" s="13">
        <v>46284.98841435185</v>
      </c>
    </row>
    <row r="41" spans="1:13" x14ac:dyDescent="0.25">
      <c r="A41" s="10" t="s">
        <v>71</v>
      </c>
      <c r="B41" s="10" t="s">
        <v>72</v>
      </c>
      <c r="C41" s="11">
        <v>46239</v>
      </c>
      <c r="D41" s="15">
        <v>20</v>
      </c>
      <c r="E41" s="15">
        <v>16</v>
      </c>
      <c r="F41" s="15">
        <v>2</v>
      </c>
      <c r="G41" s="15">
        <v>2</v>
      </c>
      <c r="H41" s="15">
        <v>27.7</v>
      </c>
      <c r="I41" s="15">
        <v>46255</v>
      </c>
      <c r="J41" s="15">
        <v>1955</v>
      </c>
      <c r="K41" s="10" t="s">
        <v>73</v>
      </c>
      <c r="L41" s="10" t="s">
        <v>92</v>
      </c>
      <c r="M41" s="13">
        <v>46284.98841435185</v>
      </c>
    </row>
    <row r="42" spans="1:13" x14ac:dyDescent="0.25">
      <c r="A42" s="10" t="s">
        <v>71</v>
      </c>
      <c r="B42" s="10" t="s">
        <v>72</v>
      </c>
      <c r="C42" s="11">
        <v>46240</v>
      </c>
      <c r="D42" s="15">
        <v>24</v>
      </c>
      <c r="E42" s="15">
        <v>17</v>
      </c>
      <c r="F42" s="15">
        <v>5</v>
      </c>
      <c r="G42" s="15">
        <v>2</v>
      </c>
      <c r="H42" s="15">
        <v>33.6</v>
      </c>
      <c r="I42" s="15">
        <v>57296</v>
      </c>
      <c r="J42" s="15">
        <v>2362</v>
      </c>
      <c r="K42" s="10" t="s">
        <v>73</v>
      </c>
      <c r="L42" s="10" t="s">
        <v>92</v>
      </c>
      <c r="M42" s="13">
        <v>46284.98841435185</v>
      </c>
    </row>
    <row r="43" spans="1:13" x14ac:dyDescent="0.25">
      <c r="A43" s="10" t="s">
        <v>71</v>
      </c>
      <c r="B43" s="10" t="s">
        <v>72</v>
      </c>
      <c r="C43" s="11">
        <v>46241</v>
      </c>
      <c r="D43" s="15">
        <v>22</v>
      </c>
      <c r="E43" s="15">
        <v>17</v>
      </c>
      <c r="F43" s="15">
        <v>3</v>
      </c>
      <c r="G43" s="15">
        <v>2</v>
      </c>
      <c r="H43" s="15">
        <v>32.5</v>
      </c>
      <c r="I43" s="15">
        <v>49974</v>
      </c>
      <c r="J43" s="15">
        <v>2122</v>
      </c>
      <c r="K43" s="10" t="s">
        <v>73</v>
      </c>
      <c r="L43" s="10" t="s">
        <v>92</v>
      </c>
      <c r="M43" s="13">
        <v>46284.98841435185</v>
      </c>
    </row>
    <row r="44" spans="1:13" x14ac:dyDescent="0.25">
      <c r="A44" s="10" t="s">
        <v>71</v>
      </c>
      <c r="B44" s="10" t="s">
        <v>72</v>
      </c>
      <c r="C44" s="11">
        <v>46242</v>
      </c>
      <c r="D44" s="15">
        <v>25</v>
      </c>
      <c r="E44" s="15">
        <v>16</v>
      </c>
      <c r="F44" s="15">
        <v>9</v>
      </c>
      <c r="G44" s="15">
        <v>0</v>
      </c>
      <c r="H44" s="15">
        <v>28.2</v>
      </c>
      <c r="I44" s="15">
        <v>55638</v>
      </c>
      <c r="J44" s="15">
        <v>2425</v>
      </c>
      <c r="K44" s="10" t="s">
        <v>73</v>
      </c>
      <c r="L44" s="10" t="s">
        <v>92</v>
      </c>
      <c r="M44" s="13">
        <v>46284.98841435185</v>
      </c>
    </row>
    <row r="45" spans="1:13" x14ac:dyDescent="0.25">
      <c r="A45" s="10" t="s">
        <v>71</v>
      </c>
      <c r="B45" s="10" t="s">
        <v>72</v>
      </c>
      <c r="C45" s="11">
        <v>46243</v>
      </c>
      <c r="D45" s="15">
        <v>26</v>
      </c>
      <c r="E45" s="15">
        <v>18</v>
      </c>
      <c r="F45" s="15">
        <v>6</v>
      </c>
      <c r="G45" s="15">
        <v>2</v>
      </c>
      <c r="H45" s="15">
        <v>28.2</v>
      </c>
      <c r="I45" s="15">
        <v>54669</v>
      </c>
      <c r="J45" s="15">
        <v>2531</v>
      </c>
      <c r="K45" s="10" t="s">
        <v>73</v>
      </c>
      <c r="L45" s="10" t="s">
        <v>92</v>
      </c>
      <c r="M45" s="13">
        <v>46284.98841435185</v>
      </c>
    </row>
    <row r="46" spans="1:13" x14ac:dyDescent="0.25">
      <c r="A46" s="10" t="s">
        <v>71</v>
      </c>
      <c r="B46" s="10" t="s">
        <v>72</v>
      </c>
      <c r="C46" s="11">
        <v>46244</v>
      </c>
      <c r="D46" s="15">
        <v>18</v>
      </c>
      <c r="E46" s="15">
        <v>12</v>
      </c>
      <c r="F46" s="15">
        <v>6</v>
      </c>
      <c r="G46" s="15">
        <v>0</v>
      </c>
      <c r="H46" s="15">
        <v>35.1</v>
      </c>
      <c r="I46" s="15">
        <v>44378</v>
      </c>
      <c r="J46" s="15">
        <v>1628</v>
      </c>
      <c r="K46" s="10" t="s">
        <v>73</v>
      </c>
      <c r="L46" s="10" t="s">
        <v>92</v>
      </c>
      <c r="M46" s="13">
        <v>46284.98841435185</v>
      </c>
    </row>
    <row r="47" spans="1:13" x14ac:dyDescent="0.25">
      <c r="A47" s="10" t="s">
        <v>71</v>
      </c>
      <c r="B47" s="10" t="s">
        <v>72</v>
      </c>
      <c r="C47" s="11">
        <v>46245</v>
      </c>
      <c r="D47" s="15">
        <v>26</v>
      </c>
      <c r="E47" s="15">
        <v>18</v>
      </c>
      <c r="F47" s="15">
        <v>7</v>
      </c>
      <c r="G47" s="15">
        <v>1</v>
      </c>
      <c r="H47" s="15">
        <v>32.700000000000003</v>
      </c>
      <c r="I47" s="15">
        <v>56382</v>
      </c>
      <c r="J47" s="15">
        <v>2403</v>
      </c>
      <c r="K47" s="10" t="s">
        <v>73</v>
      </c>
      <c r="L47" s="10" t="s">
        <v>92</v>
      </c>
      <c r="M47" s="13">
        <v>46284.98841435185</v>
      </c>
    </row>
    <row r="48" spans="1:13" x14ac:dyDescent="0.25">
      <c r="A48" s="10" t="s">
        <v>71</v>
      </c>
      <c r="B48" s="10" t="s">
        <v>72</v>
      </c>
      <c r="C48" s="11">
        <v>46246</v>
      </c>
      <c r="D48" s="15">
        <v>27</v>
      </c>
      <c r="E48" s="15">
        <v>22</v>
      </c>
      <c r="F48" s="15">
        <v>4</v>
      </c>
      <c r="G48" s="15">
        <v>1</v>
      </c>
      <c r="H48" s="15">
        <v>28.4</v>
      </c>
      <c r="I48" s="15">
        <v>61764</v>
      </c>
      <c r="J48" s="15">
        <v>2569</v>
      </c>
      <c r="K48" s="10" t="s">
        <v>73</v>
      </c>
      <c r="L48" s="10" t="s">
        <v>92</v>
      </c>
      <c r="M48" s="13">
        <v>46284.98841435185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22C31-F77A-42CC-9A92-E9420C410852}">
  <sheetPr codeName="Sheet6">
    <tabColor rgb="FF5DADE2"/>
  </sheetPr>
  <dimension ref="A1:H16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5.42578125" style="2" customWidth="1"/>
    <col min="2" max="2" width="18.5703125" style="13" customWidth="1"/>
    <col min="3" max="3" width="24.28515625" style="2" customWidth="1"/>
    <col min="4" max="4" width="11.7109375" style="10" customWidth="1"/>
    <col min="5" max="5" width="21" style="10" customWidth="1"/>
    <col min="6" max="6" width="20.28515625" style="10" customWidth="1"/>
    <col min="7" max="7" width="23" style="10" customWidth="1"/>
    <col min="8" max="8" width="69" style="18" customWidth="1"/>
    <col min="9" max="16384" width="9.140625" style="2"/>
  </cols>
  <sheetData>
    <row r="1" spans="1:8" s="21" customFormat="1" ht="16.5" x14ac:dyDescent="0.3">
      <c r="A1" s="16" t="s">
        <v>24</v>
      </c>
      <c r="B1" s="19" t="s">
        <v>25</v>
      </c>
      <c r="C1" s="16" t="s">
        <v>26</v>
      </c>
      <c r="D1" s="20" t="s">
        <v>27</v>
      </c>
      <c r="E1" s="20" t="s">
        <v>28</v>
      </c>
      <c r="F1" s="20" t="s">
        <v>29</v>
      </c>
      <c r="G1" s="20" t="s">
        <v>91</v>
      </c>
      <c r="H1" s="17" t="s">
        <v>30</v>
      </c>
    </row>
    <row r="2" spans="1:8" x14ac:dyDescent="0.25">
      <c r="A2" s="2" t="s">
        <v>92</v>
      </c>
      <c r="B2" s="13">
        <v>46284.988402777781</v>
      </c>
      <c r="C2" s="2" t="s">
        <v>69</v>
      </c>
      <c r="D2" s="14" t="s">
        <v>86</v>
      </c>
      <c r="E2" s="10">
        <v>12</v>
      </c>
      <c r="F2" s="10">
        <v>0</v>
      </c>
      <c r="G2" s="10">
        <v>0</v>
      </c>
      <c r="H2" s="18" t="s">
        <v>70</v>
      </c>
    </row>
    <row r="3" spans="1:8" x14ac:dyDescent="0.25">
      <c r="A3" s="2" t="s">
        <v>92</v>
      </c>
      <c r="B3" s="13">
        <v>46284.988402777781</v>
      </c>
      <c r="C3" s="2" t="s">
        <v>58</v>
      </c>
      <c r="D3" s="14" t="s">
        <v>86</v>
      </c>
      <c r="E3" s="10">
        <v>11</v>
      </c>
      <c r="F3" s="10">
        <v>2</v>
      </c>
      <c r="G3" s="10">
        <v>1</v>
      </c>
      <c r="H3" s="18" t="s">
        <v>65</v>
      </c>
    </row>
    <row r="4" spans="1:8" x14ac:dyDescent="0.25">
      <c r="A4" s="2" t="s">
        <v>92</v>
      </c>
      <c r="B4" s="13">
        <v>46284.98841435185</v>
      </c>
      <c r="C4" s="2" t="s">
        <v>55</v>
      </c>
      <c r="D4" s="14" t="s">
        <v>86</v>
      </c>
      <c r="E4" s="10">
        <v>12</v>
      </c>
      <c r="F4" s="10">
        <v>0</v>
      </c>
      <c r="G4" s="10">
        <v>0</v>
      </c>
      <c r="H4" s="18" t="s">
        <v>66</v>
      </c>
    </row>
    <row r="5" spans="1:8" x14ac:dyDescent="0.25">
      <c r="A5" s="2" t="s">
        <v>92</v>
      </c>
      <c r="B5" s="13">
        <v>46284.98841435185</v>
      </c>
      <c r="C5" s="2" t="s">
        <v>73</v>
      </c>
      <c r="D5" s="14" t="s">
        <v>86</v>
      </c>
      <c r="E5" s="10">
        <v>12</v>
      </c>
      <c r="F5" s="10">
        <v>0</v>
      </c>
      <c r="G5" s="10">
        <v>0</v>
      </c>
      <c r="H5" s="18" t="s">
        <v>74</v>
      </c>
    </row>
    <row r="6" spans="1:8" x14ac:dyDescent="0.25">
      <c r="A6" s="2" t="s">
        <v>92</v>
      </c>
      <c r="B6" s="13">
        <v>46284.98841435185</v>
      </c>
      <c r="D6" s="14" t="s">
        <v>87</v>
      </c>
      <c r="H6" s="18" t="s">
        <v>93</v>
      </c>
    </row>
    <row r="7" spans="1:8" x14ac:dyDescent="0.25">
      <c r="A7" s="2" t="s">
        <v>110</v>
      </c>
      <c r="B7" s="13">
        <v>46287.682592592595</v>
      </c>
      <c r="C7" s="2" t="s">
        <v>69</v>
      </c>
      <c r="D7" s="14" t="s">
        <v>86</v>
      </c>
      <c r="E7" s="10">
        <v>0</v>
      </c>
      <c r="F7" s="10">
        <v>0</v>
      </c>
      <c r="G7" s="10">
        <v>12</v>
      </c>
      <c r="H7" s="18" t="s">
        <v>109</v>
      </c>
    </row>
    <row r="8" spans="1:8" x14ac:dyDescent="0.25">
      <c r="A8" s="2" t="s">
        <v>110</v>
      </c>
      <c r="B8" s="13">
        <v>46287.682615740741</v>
      </c>
      <c r="C8" s="2" t="s">
        <v>58</v>
      </c>
      <c r="D8" s="14" t="s">
        <v>86</v>
      </c>
      <c r="E8" s="10">
        <v>0</v>
      </c>
      <c r="F8" s="10">
        <v>2</v>
      </c>
      <c r="G8" s="10">
        <v>12</v>
      </c>
      <c r="H8" s="18" t="s">
        <v>111</v>
      </c>
    </row>
    <row r="9" spans="1:8" x14ac:dyDescent="0.25">
      <c r="A9" s="2" t="s">
        <v>110</v>
      </c>
      <c r="B9" s="13">
        <v>46287.682638888888</v>
      </c>
      <c r="C9" s="2" t="s">
        <v>55</v>
      </c>
      <c r="D9" s="14" t="s">
        <v>86</v>
      </c>
      <c r="E9" s="10">
        <v>0</v>
      </c>
      <c r="F9" s="10">
        <v>0</v>
      </c>
      <c r="G9" s="10">
        <v>12</v>
      </c>
      <c r="H9" s="18" t="s">
        <v>112</v>
      </c>
    </row>
    <row r="10" spans="1:8" x14ac:dyDescent="0.25">
      <c r="A10" s="2" t="s">
        <v>110</v>
      </c>
      <c r="B10" s="13">
        <v>46287.682662037034</v>
      </c>
      <c r="C10" s="2" t="s">
        <v>73</v>
      </c>
      <c r="D10" s="14" t="s">
        <v>86</v>
      </c>
      <c r="E10" s="10">
        <v>0</v>
      </c>
      <c r="F10" s="10">
        <v>0</v>
      </c>
      <c r="G10" s="10">
        <v>12</v>
      </c>
      <c r="H10" s="18" t="s">
        <v>113</v>
      </c>
    </row>
    <row r="11" spans="1:8" x14ac:dyDescent="0.25">
      <c r="A11" s="2" t="s">
        <v>110</v>
      </c>
      <c r="B11" s="13">
        <v>46287.682685185187</v>
      </c>
      <c r="D11" s="14" t="s">
        <v>87</v>
      </c>
      <c r="H11" s="18" t="s">
        <v>114</v>
      </c>
    </row>
    <row r="12" spans="1:8" x14ac:dyDescent="0.25">
      <c r="A12" s="2" t="s">
        <v>142</v>
      </c>
      <c r="B12" s="13">
        <v>46291.676446759258</v>
      </c>
      <c r="C12" s="2" t="s">
        <v>69</v>
      </c>
      <c r="D12" s="14" t="s">
        <v>86</v>
      </c>
      <c r="E12" s="10">
        <v>0</v>
      </c>
      <c r="F12" s="10">
        <v>0</v>
      </c>
      <c r="G12" s="10">
        <v>12</v>
      </c>
      <c r="H12" s="18" t="s">
        <v>109</v>
      </c>
    </row>
    <row r="13" spans="1:8" x14ac:dyDescent="0.25">
      <c r="A13" s="2" t="s">
        <v>142</v>
      </c>
      <c r="B13" s="13">
        <v>46291.676481481481</v>
      </c>
      <c r="C13" s="2" t="s">
        <v>58</v>
      </c>
      <c r="D13" s="14" t="s">
        <v>86</v>
      </c>
      <c r="E13" s="10">
        <v>0</v>
      </c>
      <c r="F13" s="10">
        <v>2</v>
      </c>
      <c r="G13" s="10">
        <v>12</v>
      </c>
      <c r="H13" s="18" t="s">
        <v>111</v>
      </c>
    </row>
    <row r="14" spans="1:8" x14ac:dyDescent="0.25">
      <c r="A14" s="2" t="s">
        <v>142</v>
      </c>
      <c r="B14" s="13">
        <v>46291.676504629628</v>
      </c>
      <c r="C14" s="2" t="s">
        <v>55</v>
      </c>
      <c r="D14" s="14" t="s">
        <v>86</v>
      </c>
      <c r="E14" s="10">
        <v>0</v>
      </c>
      <c r="F14" s="10">
        <v>0</v>
      </c>
      <c r="G14" s="10">
        <v>12</v>
      </c>
      <c r="H14" s="18" t="s">
        <v>112</v>
      </c>
    </row>
    <row r="15" spans="1:8" x14ac:dyDescent="0.25">
      <c r="A15" s="2" t="s">
        <v>142</v>
      </c>
      <c r="B15" s="13">
        <v>46291.676539351851</v>
      </c>
      <c r="C15" s="2" t="s">
        <v>73</v>
      </c>
      <c r="D15" s="14" t="s">
        <v>86</v>
      </c>
      <c r="E15" s="10">
        <v>0</v>
      </c>
      <c r="F15" s="10">
        <v>0</v>
      </c>
      <c r="G15" s="10">
        <v>12</v>
      </c>
      <c r="H15" s="18" t="s">
        <v>113</v>
      </c>
    </row>
    <row r="16" spans="1:8" x14ac:dyDescent="0.25">
      <c r="A16" s="2" t="s">
        <v>142</v>
      </c>
      <c r="B16" s="13">
        <v>46291.676562499997</v>
      </c>
      <c r="D16" s="14" t="s">
        <v>87</v>
      </c>
      <c r="H16" s="18" t="s">
        <v>143</v>
      </c>
    </row>
  </sheetData>
  <sheetProtection sheet="1" objects="1" scenarios="1" autoFilter="0"/>
  <conditionalFormatting sqref="D1:D1048576">
    <cfRule type="containsText" dxfId="33" priority="1" operator="containsText" text="FAILED">
      <formula>NOT(ISERROR(SEARCH("FAILED",D1)))</formula>
    </cfRule>
    <cfRule type="containsText" dxfId="32" priority="2" operator="containsText" text="WARNING">
      <formula>NOT(ISERROR(SEARCH("WARNING",D1)))</formula>
    </cfRule>
    <cfRule type="containsText" dxfId="31" priority="3" operator="containsText" text="COMPLETE">
      <formula>NOT(ISERROR(SEARCH("COMPLETE",D1)))</formula>
    </cfRule>
    <cfRule type="containsText" dxfId="30" priority="4" operator="containsText" text="COMPLETE">
      <formula>NOT(ISERROR(SEARCH("COMPLETE",D1)))</formula>
    </cfRule>
  </conditionalFormatting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665D8-554C-4686-B9E4-7B8C156997C9}">
  <sheetPr codeName="Sheet7">
    <tabColor rgb="FFD64545"/>
  </sheetPr>
  <dimension ref="A1:F7"/>
  <sheetViews>
    <sheetView showGridLines="0" workbookViewId="0">
      <pane ySplit="1" topLeftCell="A2" activePane="bottomLeft" state="frozen"/>
      <selection pane="bottomLeft"/>
    </sheetView>
  </sheetViews>
  <sheetFormatPr defaultRowHeight="15" x14ac:dyDescent="0.25"/>
  <cols>
    <col min="1" max="1" width="23.42578125" customWidth="1"/>
    <col min="2" max="2" width="17.42578125" style="13" customWidth="1"/>
    <col min="3" max="3" width="28.42578125" customWidth="1"/>
    <col min="4" max="4" width="21.7109375" style="10" customWidth="1"/>
    <col min="5" max="5" width="73.7109375" style="25" customWidth="1"/>
    <col min="6" max="6" width="56.5703125" style="25" customWidth="1"/>
  </cols>
  <sheetData>
    <row r="1" spans="1:6" s="12" customFormat="1" ht="16.5" x14ac:dyDescent="0.3">
      <c r="A1" s="22" t="s">
        <v>24</v>
      </c>
      <c r="B1" s="26" t="s">
        <v>25</v>
      </c>
      <c r="C1" s="22" t="s">
        <v>10</v>
      </c>
      <c r="D1" s="23" t="s">
        <v>31</v>
      </c>
      <c r="E1" s="24" t="s">
        <v>32</v>
      </c>
      <c r="F1" s="24" t="s">
        <v>33</v>
      </c>
    </row>
    <row r="2" spans="1:6" x14ac:dyDescent="0.25">
      <c r="A2" t="s">
        <v>92</v>
      </c>
      <c r="B2" s="13">
        <v>46284.988402777781</v>
      </c>
      <c r="C2" t="s">
        <v>58</v>
      </c>
      <c r="D2" s="10" t="s">
        <v>56</v>
      </c>
      <c r="E2" s="25" t="s">
        <v>59</v>
      </c>
      <c r="F2" s="25" t="s">
        <v>60</v>
      </c>
    </row>
    <row r="3" spans="1:6" x14ac:dyDescent="0.25">
      <c r="A3" t="s">
        <v>92</v>
      </c>
      <c r="B3" s="13">
        <v>46284.988402777781</v>
      </c>
      <c r="C3" t="s">
        <v>58</v>
      </c>
      <c r="D3" s="10" t="s">
        <v>57</v>
      </c>
      <c r="E3" s="25" t="s">
        <v>61</v>
      </c>
      <c r="F3" s="25" t="s">
        <v>62</v>
      </c>
    </row>
    <row r="4" spans="1:6" x14ac:dyDescent="0.25">
      <c r="A4" t="s">
        <v>110</v>
      </c>
      <c r="B4" s="13">
        <v>46287.682615740741</v>
      </c>
      <c r="C4" t="s">
        <v>58</v>
      </c>
      <c r="D4" s="10" t="s">
        <v>56</v>
      </c>
      <c r="E4" s="25" t="s">
        <v>59</v>
      </c>
      <c r="F4" s="25" t="s">
        <v>60</v>
      </c>
    </row>
    <row r="5" spans="1:6" x14ac:dyDescent="0.25">
      <c r="A5" t="s">
        <v>110</v>
      </c>
      <c r="B5" s="13">
        <v>46287.682615740741</v>
      </c>
      <c r="C5" t="s">
        <v>58</v>
      </c>
      <c r="D5" s="10" t="s">
        <v>57</v>
      </c>
      <c r="E5" s="25" t="s">
        <v>61</v>
      </c>
      <c r="F5" s="25" t="s">
        <v>62</v>
      </c>
    </row>
    <row r="6" spans="1:6" x14ac:dyDescent="0.25">
      <c r="A6" t="s">
        <v>142</v>
      </c>
      <c r="B6" s="13">
        <v>46291.676469907405</v>
      </c>
      <c r="C6" t="s">
        <v>58</v>
      </c>
      <c r="D6" s="10" t="s">
        <v>56</v>
      </c>
      <c r="E6" s="25" t="s">
        <v>59</v>
      </c>
      <c r="F6" s="25" t="s">
        <v>60</v>
      </c>
    </row>
    <row r="7" spans="1:6" x14ac:dyDescent="0.25">
      <c r="A7" t="s">
        <v>142</v>
      </c>
      <c r="B7" s="13">
        <v>46291.676469907405</v>
      </c>
      <c r="C7" t="s">
        <v>58</v>
      </c>
      <c r="D7" s="10" t="s">
        <v>57</v>
      </c>
      <c r="E7" s="25" t="s">
        <v>61</v>
      </c>
      <c r="F7" s="25" t="s">
        <v>62</v>
      </c>
    </row>
  </sheetData>
  <sheetProtection sheet="1" objects="1" scenarios="1" autoFilter="0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6DBFF-ED8C-43E5-9CA2-C53B6BCB2AC4}">
  <sheetPr codeName="Sheet8">
    <tabColor theme="0" tint="-0.499984740745262"/>
  </sheetPr>
  <dimension ref="A1:M25"/>
  <sheetViews>
    <sheetView showGridLines="0" workbookViewId="0"/>
  </sheetViews>
  <sheetFormatPr defaultRowHeight="15" x14ac:dyDescent="0.25"/>
  <cols>
    <col min="13" max="13" width="15.5703125" customWidth="1"/>
  </cols>
  <sheetData>
    <row r="1" spans="1:13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</row>
    <row r="2" spans="1:13" x14ac:dyDescent="0.25">
      <c r="A2" s="78" t="s">
        <v>102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</row>
    <row r="3" spans="1:13" x14ac:dyDescent="0.25">
      <c r="A3" s="78"/>
      <c r="B3" s="78"/>
      <c r="C3" s="78"/>
      <c r="D3" s="78"/>
      <c r="E3" s="78"/>
      <c r="F3" s="78"/>
      <c r="G3" s="78"/>
      <c r="H3" s="78"/>
      <c r="I3" s="78"/>
      <c r="J3" s="78"/>
      <c r="K3" s="78"/>
      <c r="L3" s="78"/>
      <c r="M3" s="78"/>
    </row>
    <row r="4" spans="1:13" ht="16.5" x14ac:dyDescent="0.3">
      <c r="A4" s="79" t="s">
        <v>116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</row>
    <row r="5" spans="1:13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</row>
    <row r="6" spans="1:13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</row>
    <row r="7" spans="1:13" ht="16.5" x14ac:dyDescent="0.3">
      <c r="A7" s="22" t="s">
        <v>117</v>
      </c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</row>
    <row r="8" spans="1:13" ht="16.5" x14ac:dyDescent="0.3">
      <c r="A8" s="41" t="s">
        <v>118</v>
      </c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1:13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</row>
    <row r="10" spans="1:13" ht="16.5" x14ac:dyDescent="0.3">
      <c r="A10" s="22" t="s">
        <v>119</v>
      </c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1:13" ht="16.5" x14ac:dyDescent="0.3">
      <c r="A11" s="41" t="s">
        <v>120</v>
      </c>
      <c r="B11" s="40"/>
      <c r="C11" s="42"/>
      <c r="D11" s="40"/>
      <c r="E11" s="40"/>
      <c r="F11" s="40"/>
      <c r="G11" s="40"/>
      <c r="H11" s="40"/>
      <c r="I11" s="40"/>
      <c r="J11" s="40"/>
      <c r="K11" s="40"/>
      <c r="L11" s="40"/>
      <c r="M11" s="40"/>
    </row>
    <row r="12" spans="1:13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</row>
    <row r="13" spans="1:13" ht="16.5" x14ac:dyDescent="0.3">
      <c r="A13" s="22" t="s">
        <v>121</v>
      </c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</row>
    <row r="14" spans="1:13" ht="16.5" x14ac:dyDescent="0.3">
      <c r="A14" s="41" t="s">
        <v>122</v>
      </c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</row>
    <row r="15" spans="1:13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</row>
    <row r="16" spans="1:13" ht="16.5" x14ac:dyDescent="0.3">
      <c r="A16" s="22" t="s">
        <v>123</v>
      </c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</row>
    <row r="17" spans="1:13" ht="16.5" x14ac:dyDescent="0.3">
      <c r="A17" s="41" t="s">
        <v>124</v>
      </c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</row>
    <row r="18" spans="1:13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</row>
    <row r="19" spans="1:13" ht="16.5" x14ac:dyDescent="0.3">
      <c r="A19" s="22" t="s">
        <v>125</v>
      </c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</row>
    <row r="20" spans="1:13" ht="16.5" x14ac:dyDescent="0.3">
      <c r="A20" s="41" t="s">
        <v>126</v>
      </c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0"/>
    </row>
    <row r="21" spans="1:13" x14ac:dyDescent="0.25">
      <c r="A21" s="40"/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</row>
    <row r="22" spans="1:13" ht="16.5" x14ac:dyDescent="0.3">
      <c r="A22" s="22" t="s">
        <v>127</v>
      </c>
      <c r="B22" s="40"/>
      <c r="C22" s="40"/>
      <c r="D22" s="40"/>
      <c r="E22" s="40"/>
      <c r="F22" s="40"/>
      <c r="G22" s="40"/>
      <c r="H22" s="40"/>
      <c r="I22" s="40"/>
      <c r="J22" s="40"/>
      <c r="K22" s="40"/>
      <c r="L22" s="40"/>
      <c r="M22" s="40"/>
    </row>
    <row r="23" spans="1:13" ht="16.5" x14ac:dyDescent="0.3">
      <c r="A23" s="41" t="s">
        <v>128</v>
      </c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40"/>
    </row>
    <row r="24" spans="1:13" x14ac:dyDescent="0.25">
      <c r="A24" s="40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40"/>
    </row>
    <row r="25" spans="1:13" x14ac:dyDescent="0.25">
      <c r="A25" s="40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40"/>
    </row>
  </sheetData>
  <mergeCells count="2">
    <mergeCell ref="A2:M3"/>
    <mergeCell ref="A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BF82A1-ECBF-4D31-B80C-8CE0C2CE8273}">
  <sheetPr codeName="Sheet9">
    <tabColor theme="6" tint="0.59999389629810485"/>
  </sheetPr>
  <dimension ref="A1:E8"/>
  <sheetViews>
    <sheetView showGridLines="0" workbookViewId="0">
      <selection activeCell="C13" sqref="C13"/>
    </sheetView>
  </sheetViews>
  <sheetFormatPr defaultRowHeight="15" x14ac:dyDescent="0.25"/>
  <cols>
    <col min="1" max="1" width="39.140625" customWidth="1"/>
    <col min="2" max="2" width="12.140625" customWidth="1"/>
    <col min="4" max="4" width="22.5703125" customWidth="1"/>
  </cols>
  <sheetData>
    <row r="1" spans="1:5" ht="20.25" x14ac:dyDescent="0.35">
      <c r="A1" s="27" t="s">
        <v>135</v>
      </c>
    </row>
    <row r="2" spans="1:5" ht="16.5" x14ac:dyDescent="0.3">
      <c r="A2" s="29" t="s">
        <v>131</v>
      </c>
      <c r="B2" s="29" t="s">
        <v>132</v>
      </c>
      <c r="D2" s="30" t="s">
        <v>133</v>
      </c>
    </row>
    <row r="3" spans="1:5" ht="16.5" x14ac:dyDescent="0.3">
      <c r="A3" s="32" t="s">
        <v>94</v>
      </c>
      <c r="B3" s="33">
        <f>IF($D$3="","", SUMIFS(Import_Log!$E$2:$E$5005, Import_Log!$A$2:$A$5005,$D$3))</f>
        <v>47</v>
      </c>
      <c r="D3" s="30" t="str">
        <f>IFERROR(LOOKUP(2,1/((Import_Log!$A$2:$A$5005&lt;&gt;"")*(Import_Log!$E$2:$E$5005&gt;0)), Import_Log!$A$2:$A$5005),"")</f>
        <v>BATCH-20260919-234317</v>
      </c>
    </row>
    <row r="4" spans="1:5" ht="16.5" x14ac:dyDescent="0.3">
      <c r="A4" s="34" t="s">
        <v>95</v>
      </c>
      <c r="B4" s="33">
        <f>IF($D$3="","",SUMIFS(Import_Log!$F$2:$F$5005, Import_Log!$A$2:$A$5005,$D$3))</f>
        <v>2</v>
      </c>
    </row>
    <row r="5" spans="1:5" ht="16.5" x14ac:dyDescent="0.3">
      <c r="A5" s="35" t="s">
        <v>96</v>
      </c>
      <c r="B5" s="33">
        <f>IF($D$3="","",SUMIFS(Import_Log!$G$2:$G$5005, Import_Log!$A$2:$A$5005,$D$3))</f>
        <v>1</v>
      </c>
      <c r="D5" s="31" t="s">
        <v>134</v>
      </c>
      <c r="E5" s="36">
        <f>IFERROR(B3/SUM(B3:B5),"")</f>
        <v>0.94</v>
      </c>
    </row>
    <row r="6" spans="1:5" x14ac:dyDescent="0.25">
      <c r="A6" s="28" t="s">
        <v>136</v>
      </c>
    </row>
    <row r="8" spans="1:5" x14ac:dyDescent="0.25">
      <c r="A8" s="28" t="s">
        <v>137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A3180-9A5F-4F72-8850-76E2CC0B8CE5}">
  <sheetPr codeName="Sheet3">
    <tabColor theme="6" tint="0.59999389629810485"/>
  </sheetPr>
  <dimension ref="A1:E25"/>
  <sheetViews>
    <sheetView showGridLines="0" workbookViewId="0">
      <selection activeCell="D28" sqref="D28"/>
    </sheetView>
  </sheetViews>
  <sheetFormatPr defaultRowHeight="15" x14ac:dyDescent="0.25"/>
  <cols>
    <col min="1" max="1" width="17" customWidth="1"/>
    <col min="2" max="2" width="18.140625" style="25" customWidth="1"/>
    <col min="3" max="3" width="19.7109375" customWidth="1"/>
    <col min="4" max="4" width="20" style="25" customWidth="1"/>
    <col min="5" max="5" width="13.42578125" style="10" customWidth="1"/>
  </cols>
  <sheetData>
    <row r="1" spans="1:5" ht="16.5" x14ac:dyDescent="0.3">
      <c r="A1" s="22" t="s">
        <v>13</v>
      </c>
      <c r="B1" s="24" t="s">
        <v>14</v>
      </c>
      <c r="C1" s="22" t="s">
        <v>15</v>
      </c>
      <c r="D1" s="24" t="s">
        <v>16</v>
      </c>
      <c r="E1" s="23" t="s">
        <v>17</v>
      </c>
    </row>
    <row r="2" spans="1:5" x14ac:dyDescent="0.25">
      <c r="A2" t="s">
        <v>34</v>
      </c>
      <c r="B2" s="25" t="s">
        <v>0</v>
      </c>
      <c r="C2" t="s">
        <v>0</v>
      </c>
      <c r="D2" s="25" t="s">
        <v>0</v>
      </c>
      <c r="E2" s="10" t="s">
        <v>35</v>
      </c>
    </row>
    <row r="3" spans="1:5" x14ac:dyDescent="0.25">
      <c r="A3" t="s">
        <v>34</v>
      </c>
      <c r="B3" s="25" t="s">
        <v>0</v>
      </c>
      <c r="C3" t="s">
        <v>1</v>
      </c>
      <c r="D3" s="25" t="s">
        <v>1</v>
      </c>
      <c r="E3" s="10" t="s">
        <v>35</v>
      </c>
    </row>
    <row r="4" spans="1:5" x14ac:dyDescent="0.25">
      <c r="A4" t="s">
        <v>34</v>
      </c>
      <c r="B4" s="25" t="s">
        <v>0</v>
      </c>
      <c r="C4" t="s">
        <v>2</v>
      </c>
      <c r="D4" s="25" t="s">
        <v>2</v>
      </c>
      <c r="E4" s="10" t="s">
        <v>35</v>
      </c>
    </row>
    <row r="5" spans="1:5" x14ac:dyDescent="0.25">
      <c r="A5" t="s">
        <v>34</v>
      </c>
      <c r="B5" s="25" t="s">
        <v>0</v>
      </c>
      <c r="C5" t="s">
        <v>3</v>
      </c>
      <c r="D5" s="25" t="s">
        <v>3</v>
      </c>
      <c r="E5" s="10" t="s">
        <v>35</v>
      </c>
    </row>
    <row r="6" spans="1:5" x14ac:dyDescent="0.25">
      <c r="A6" t="s">
        <v>34</v>
      </c>
      <c r="B6" s="25" t="s">
        <v>0</v>
      </c>
      <c r="C6" t="s">
        <v>4</v>
      </c>
      <c r="D6" s="25" t="s">
        <v>4</v>
      </c>
      <c r="E6" s="10" t="s">
        <v>35</v>
      </c>
    </row>
    <row r="7" spans="1:5" x14ac:dyDescent="0.25">
      <c r="A7" t="s">
        <v>34</v>
      </c>
      <c r="B7" s="25" t="s">
        <v>0</v>
      </c>
      <c r="C7" t="s">
        <v>5</v>
      </c>
      <c r="D7" s="25" t="s">
        <v>5</v>
      </c>
      <c r="E7" s="10" t="s">
        <v>35</v>
      </c>
    </row>
    <row r="8" spans="1:5" x14ac:dyDescent="0.25">
      <c r="A8" t="s">
        <v>34</v>
      </c>
      <c r="B8" s="25" t="s">
        <v>0</v>
      </c>
      <c r="C8" t="s">
        <v>6</v>
      </c>
      <c r="D8" s="25" t="s">
        <v>6</v>
      </c>
      <c r="E8" s="10" t="s">
        <v>35</v>
      </c>
    </row>
    <row r="9" spans="1:5" ht="30" x14ac:dyDescent="0.25">
      <c r="A9" t="s">
        <v>34</v>
      </c>
      <c r="B9" s="25" t="s">
        <v>0</v>
      </c>
      <c r="C9" t="s">
        <v>7</v>
      </c>
      <c r="D9" s="25" t="s">
        <v>7</v>
      </c>
      <c r="E9" s="10" t="s">
        <v>35</v>
      </c>
    </row>
    <row r="10" spans="1:5" x14ac:dyDescent="0.25">
      <c r="A10" t="s">
        <v>34</v>
      </c>
      <c r="B10" s="25" t="s">
        <v>0</v>
      </c>
      <c r="C10" t="s">
        <v>8</v>
      </c>
      <c r="D10" s="25" t="s">
        <v>8</v>
      </c>
      <c r="E10" s="10" t="s">
        <v>36</v>
      </c>
    </row>
    <row r="11" spans="1:5" x14ac:dyDescent="0.25">
      <c r="A11" t="s">
        <v>34</v>
      </c>
      <c r="B11" s="25" t="s">
        <v>0</v>
      </c>
      <c r="C11" t="s">
        <v>9</v>
      </c>
      <c r="D11" s="25" t="s">
        <v>9</v>
      </c>
      <c r="E11" s="10" t="s">
        <v>35</v>
      </c>
    </row>
    <row r="12" spans="1:5" x14ac:dyDescent="0.25">
      <c r="A12" t="s">
        <v>37</v>
      </c>
      <c r="B12" s="25" t="s">
        <v>38</v>
      </c>
      <c r="C12" t="s">
        <v>0</v>
      </c>
      <c r="D12" s="25" t="s">
        <v>38</v>
      </c>
      <c r="E12" s="10" t="s">
        <v>35</v>
      </c>
    </row>
    <row r="13" spans="1:5" x14ac:dyDescent="0.25">
      <c r="A13" t="s">
        <v>37</v>
      </c>
      <c r="B13" s="25" t="s">
        <v>38</v>
      </c>
      <c r="C13" t="s">
        <v>1</v>
      </c>
      <c r="D13" s="25" t="s">
        <v>39</v>
      </c>
      <c r="E13" s="10" t="s">
        <v>35</v>
      </c>
    </row>
    <row r="14" spans="1:5" x14ac:dyDescent="0.25">
      <c r="A14" t="s">
        <v>37</v>
      </c>
      <c r="B14" s="25" t="s">
        <v>38</v>
      </c>
      <c r="C14" t="s">
        <v>2</v>
      </c>
      <c r="D14" s="25" t="s">
        <v>2</v>
      </c>
      <c r="E14" s="10" t="s">
        <v>35</v>
      </c>
    </row>
    <row r="15" spans="1:5" x14ac:dyDescent="0.25">
      <c r="A15" t="s">
        <v>37</v>
      </c>
      <c r="B15" s="25" t="s">
        <v>38</v>
      </c>
      <c r="C15" t="s">
        <v>3</v>
      </c>
      <c r="D15" s="25" t="s">
        <v>3</v>
      </c>
      <c r="E15" s="10" t="s">
        <v>35</v>
      </c>
    </row>
    <row r="16" spans="1:5" x14ac:dyDescent="0.25">
      <c r="A16" t="s">
        <v>37</v>
      </c>
      <c r="B16" s="25" t="s">
        <v>38</v>
      </c>
      <c r="C16" t="s">
        <v>4</v>
      </c>
      <c r="D16" s="25" t="s">
        <v>4</v>
      </c>
      <c r="E16" s="10" t="s">
        <v>35</v>
      </c>
    </row>
    <row r="17" spans="1:5" x14ac:dyDescent="0.25">
      <c r="A17" t="s">
        <v>37</v>
      </c>
      <c r="B17" s="25" t="s">
        <v>38</v>
      </c>
      <c r="C17" t="s">
        <v>5</v>
      </c>
      <c r="D17" s="25" t="s">
        <v>5</v>
      </c>
      <c r="E17" s="10" t="s">
        <v>35</v>
      </c>
    </row>
    <row r="18" spans="1:5" x14ac:dyDescent="0.25">
      <c r="A18" t="s">
        <v>37</v>
      </c>
      <c r="B18" s="25" t="s">
        <v>38</v>
      </c>
      <c r="C18" t="s">
        <v>6</v>
      </c>
      <c r="D18" s="25" t="s">
        <v>6</v>
      </c>
      <c r="E18" s="10" t="s">
        <v>35</v>
      </c>
    </row>
    <row r="19" spans="1:5" ht="30" x14ac:dyDescent="0.25">
      <c r="A19" t="s">
        <v>37</v>
      </c>
      <c r="B19" s="25" t="s">
        <v>38</v>
      </c>
      <c r="C19" t="s">
        <v>7</v>
      </c>
      <c r="D19" s="25" t="s">
        <v>7</v>
      </c>
      <c r="E19" s="10" t="s">
        <v>35</v>
      </c>
    </row>
    <row r="20" spans="1:5" x14ac:dyDescent="0.25">
      <c r="A20" t="s">
        <v>37</v>
      </c>
      <c r="B20" s="25" t="s">
        <v>38</v>
      </c>
      <c r="C20" t="s">
        <v>8</v>
      </c>
      <c r="D20" s="25" t="s">
        <v>8</v>
      </c>
      <c r="E20" s="10" t="s">
        <v>35</v>
      </c>
    </row>
    <row r="21" spans="1:5" x14ac:dyDescent="0.25">
      <c r="A21" t="s">
        <v>37</v>
      </c>
      <c r="B21" s="25" t="s">
        <v>38</v>
      </c>
      <c r="C21" t="s">
        <v>9</v>
      </c>
      <c r="D21" s="25" t="s">
        <v>9</v>
      </c>
      <c r="E21" s="10" t="s">
        <v>35</v>
      </c>
    </row>
    <row r="24" spans="1:5" x14ac:dyDescent="0.25">
      <c r="A24" s="37" t="s">
        <v>138</v>
      </c>
    </row>
    <row r="25" spans="1:5" x14ac:dyDescent="0.25">
      <c r="A25" s="37" t="s">
        <v>139</v>
      </c>
    </row>
  </sheetData>
  <sheetProtection sheet="1" objects="1" scenarios="1"/>
  <conditionalFormatting sqref="E1:E1048576">
    <cfRule type="containsText" dxfId="13" priority="1" operator="containsText" text="No">
      <formula>NOT(ISERROR(SEARCH("No",E1)))</formula>
    </cfRule>
    <cfRule type="containsText" dxfId="12" priority="2" operator="containsText" text="Yes">
      <formula>NOT(ISERROR(SEARCH("Yes",E1)))</formula>
    </cfRule>
  </conditionalFormatting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846E-AA02-4B8B-9ADD-AF5FFB4D967F}">
  <sheetPr codeName="Sheet4">
    <tabColor theme="6" tint="0.59999389629810485"/>
  </sheetPr>
  <dimension ref="A1:F14"/>
  <sheetViews>
    <sheetView showGridLines="0" workbookViewId="0">
      <pane ySplit="1" topLeftCell="A2" activePane="bottomLeft" state="frozen"/>
      <selection pane="bottomLeft" activeCell="D15" sqref="D15"/>
    </sheetView>
  </sheetViews>
  <sheetFormatPr defaultRowHeight="15" x14ac:dyDescent="0.25"/>
  <cols>
    <col min="1" max="1" width="22" customWidth="1"/>
    <col min="2" max="2" width="16.5703125" style="10" customWidth="1"/>
    <col min="3" max="3" width="16.28515625" style="10" customWidth="1"/>
    <col min="4" max="4" width="17.85546875" style="10" customWidth="1"/>
    <col min="5" max="5" width="20" customWidth="1"/>
    <col min="6" max="6" width="43.28515625" style="25" customWidth="1"/>
  </cols>
  <sheetData>
    <row r="1" spans="1:6" ht="16.5" x14ac:dyDescent="0.3">
      <c r="A1" s="22" t="s">
        <v>18</v>
      </c>
      <c r="B1" s="23" t="s">
        <v>19</v>
      </c>
      <c r="C1" s="23" t="s">
        <v>20</v>
      </c>
      <c r="D1" s="23" t="s">
        <v>21</v>
      </c>
      <c r="E1" s="22" t="s">
        <v>22</v>
      </c>
      <c r="F1" s="24" t="s">
        <v>23</v>
      </c>
    </row>
    <row r="2" spans="1:6" x14ac:dyDescent="0.25">
      <c r="A2" t="s">
        <v>0</v>
      </c>
      <c r="B2" s="10" t="s">
        <v>40</v>
      </c>
      <c r="E2" t="s">
        <v>41</v>
      </c>
      <c r="F2" s="38" t="s">
        <v>42</v>
      </c>
    </row>
    <row r="3" spans="1:6" x14ac:dyDescent="0.25">
      <c r="A3" t="s">
        <v>2</v>
      </c>
      <c r="B3" s="10" t="s">
        <v>43</v>
      </c>
      <c r="C3" s="39">
        <v>46235</v>
      </c>
      <c r="D3" s="39">
        <v>46265</v>
      </c>
      <c r="F3" s="38" t="s">
        <v>44</v>
      </c>
    </row>
    <row r="4" spans="1:6" x14ac:dyDescent="0.25">
      <c r="A4" t="s">
        <v>3</v>
      </c>
      <c r="B4" s="10" t="s">
        <v>45</v>
      </c>
      <c r="C4" s="10">
        <v>0</v>
      </c>
      <c r="D4" s="10">
        <v>100</v>
      </c>
      <c r="F4" s="38" t="s">
        <v>46</v>
      </c>
    </row>
    <row r="5" spans="1:6" x14ac:dyDescent="0.25">
      <c r="A5" t="s">
        <v>4</v>
      </c>
      <c r="B5" s="10" t="s">
        <v>45</v>
      </c>
      <c r="C5" s="10">
        <v>0</v>
      </c>
      <c r="D5" s="10">
        <v>100</v>
      </c>
      <c r="F5" s="38" t="s">
        <v>47</v>
      </c>
    </row>
    <row r="6" spans="1:6" x14ac:dyDescent="0.25">
      <c r="A6" t="s">
        <v>5</v>
      </c>
      <c r="B6" s="10" t="s">
        <v>45</v>
      </c>
      <c r="C6" s="10">
        <v>0</v>
      </c>
      <c r="D6" s="10">
        <v>100</v>
      </c>
      <c r="F6" s="38" t="s">
        <v>48</v>
      </c>
    </row>
    <row r="7" spans="1:6" x14ac:dyDescent="0.25">
      <c r="A7" t="s">
        <v>6</v>
      </c>
      <c r="B7" s="10" t="s">
        <v>45</v>
      </c>
      <c r="C7" s="10">
        <v>0</v>
      </c>
      <c r="D7" s="10">
        <v>50</v>
      </c>
      <c r="F7" s="38" t="s">
        <v>49</v>
      </c>
    </row>
    <row r="8" spans="1:6" x14ac:dyDescent="0.25">
      <c r="A8" t="s">
        <v>7</v>
      </c>
      <c r="B8" s="10" t="s">
        <v>45</v>
      </c>
      <c r="C8" s="10">
        <v>0</v>
      </c>
      <c r="D8" s="10">
        <v>180</v>
      </c>
      <c r="F8" s="38" t="s">
        <v>50</v>
      </c>
    </row>
    <row r="9" spans="1:6" x14ac:dyDescent="0.25">
      <c r="A9" t="s">
        <v>8</v>
      </c>
      <c r="B9" s="10" t="s">
        <v>45</v>
      </c>
      <c r="C9" s="10">
        <v>0</v>
      </c>
      <c r="D9" s="10">
        <v>180000</v>
      </c>
      <c r="F9" s="38" t="s">
        <v>51</v>
      </c>
    </row>
    <row r="10" spans="1:6" x14ac:dyDescent="0.25">
      <c r="A10" t="s">
        <v>9</v>
      </c>
      <c r="B10" s="10" t="s">
        <v>45</v>
      </c>
      <c r="C10" s="10">
        <v>0</v>
      </c>
      <c r="D10" s="10">
        <v>10000</v>
      </c>
      <c r="F10" s="38" t="s">
        <v>52</v>
      </c>
    </row>
    <row r="13" spans="1:6" x14ac:dyDescent="0.25">
      <c r="A13" s="37" t="s">
        <v>140</v>
      </c>
    </row>
    <row r="14" spans="1:6" x14ac:dyDescent="0.25">
      <c r="A14" s="37" t="s">
        <v>141</v>
      </c>
    </row>
  </sheetData>
  <sheetProtection sheet="1" objects="1" scenarios="1"/>
  <conditionalFormatting sqref="B1:B1048576">
    <cfRule type="containsText" dxfId="7" priority="1" operator="containsText" text="Range">
      <formula>NOT(ISERROR(SEARCH("Range",B1)))</formula>
    </cfRule>
    <cfRule type="containsText" dxfId="6" priority="2" operator="containsText" text="DateRange">
      <formula>NOT(ISERROR(SEARCH("DateRange",B1)))</formula>
    </cfRule>
    <cfRule type="containsText" dxfId="5" priority="3" operator="containsText" text="AllowedList">
      <formula>NOT(ISERROR(SEARCH("AllowedList",B1)))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Control_Panel</vt:lpstr>
      <vt:lpstr>Dashboard</vt:lpstr>
      <vt:lpstr>Master_Data</vt:lpstr>
      <vt:lpstr>Import_Log</vt:lpstr>
      <vt:lpstr>Data_Quality_Log</vt:lpstr>
      <vt:lpstr>Instructions</vt:lpstr>
      <vt:lpstr>Dashboard_Data</vt:lpstr>
      <vt:lpstr>Config_SourceProfiles</vt:lpstr>
      <vt:lpstr>Config_ValidationRules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lukman segun oyewo</dc:creator>
  <cp:lastModifiedBy>lukman segun oyewo</cp:lastModifiedBy>
  <dcterms:created xsi:type="dcterms:W3CDTF">2026-08-31T15:49:51Z</dcterms:created>
  <dcterms:modified xsi:type="dcterms:W3CDTF">2026-09-26T15:44:42Z</dcterms:modified>
</cp:coreProperties>
</file>